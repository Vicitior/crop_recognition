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icitior\Desktop\新建文件夹 (4)\crop_recognition\"/>
    </mc:Choice>
  </mc:AlternateContent>
  <xr:revisionPtr revIDLastSave="0" documentId="13_ncr:1_{0F7BB865-346A-4D83-B3AE-835287858B16}" xr6:coauthVersionLast="47" xr6:coauthVersionMax="47" xr10:uidLastSave="{00000000-0000-0000-0000-000000000000}"/>
  <bookViews>
    <workbookView xWindow="780" yWindow="780" windowWidth="28800" windowHeight="15345" activeTab="2" xr2:uid="{00000000-000D-0000-FFFF-FFFF00000000}"/>
  </bookViews>
  <sheets>
    <sheet name="图1-数据集分布" sheetId="1" r:id="rId1"/>
    <sheet name="图2-主实验对比" sheetId="2" r:id="rId2"/>
    <sheet name="图3-各类别准确率" sheetId="3" r:id="rId3"/>
    <sheet name="图4-消融实验" sheetId="4" r:id="rId4"/>
    <sheet name="图5-TTA分析" sheetId="5" r:id="rId5"/>
    <sheet name="图6-参数效率" sheetId="6" r:id="rId6"/>
    <sheet name="图7-训练曲线" sheetId="7" r:id="rId7"/>
    <sheet name="图8-混淆矩阵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3" l="1"/>
  <c r="D17" i="3"/>
  <c r="E17" i="3"/>
  <c r="F17" i="3"/>
  <c r="E10" i="5"/>
  <c r="C10" i="5"/>
  <c r="B10" i="5"/>
  <c r="B9" i="5"/>
  <c r="C8" i="5"/>
  <c r="E7" i="5"/>
  <c r="D7" i="5"/>
  <c r="C7" i="5"/>
  <c r="B7" i="5"/>
  <c r="B8" i="5"/>
  <c r="D8" i="5"/>
  <c r="E8" i="5"/>
  <c r="C9" i="5"/>
  <c r="D9" i="5"/>
  <c r="E9" i="5"/>
  <c r="D10" i="5"/>
  <c r="B17" i="3" l="1"/>
</calcChain>
</file>

<file path=xl/sharedStrings.xml><?xml version="1.0" encoding="utf-8"?>
<sst xmlns="http://schemas.openxmlformats.org/spreadsheetml/2006/main" count="143" uniqueCount="116">
  <si>
    <t>类别</t>
  </si>
  <si>
    <t>训练集</t>
  </si>
  <si>
    <t>验证集</t>
  </si>
  <si>
    <t>测试集</t>
  </si>
  <si>
    <t>总计</t>
  </si>
  <si>
    <t>玉米-出苗</t>
  </si>
  <si>
    <t>玉米-拔节</t>
  </si>
  <si>
    <t>玉米-抽穗</t>
  </si>
  <si>
    <t>玉米-灌浆</t>
  </si>
  <si>
    <t>玉米-成熟</t>
  </si>
  <si>
    <t>小麦-出苗</t>
  </si>
  <si>
    <t>小麦-分蘖</t>
  </si>
  <si>
    <t>小麦-拔节</t>
  </si>
  <si>
    <t>小麦-抽穗</t>
  </si>
  <si>
    <t>小麦-成熟</t>
  </si>
  <si>
    <t>棉花-出苗</t>
  </si>
  <si>
    <t>棉花-现蕾</t>
  </si>
  <si>
    <t>棉花-开花</t>
  </si>
  <si>
    <t>棉花-花铃</t>
  </si>
  <si>
    <t>棉花-吐絮</t>
  </si>
  <si>
    <t>方法</t>
  </si>
  <si>
    <t>15类准确率(%)</t>
  </si>
  <si>
    <t>5类棉花准确率(%)</t>
  </si>
  <si>
    <t>Zero-shot CLIP-B/32</t>
  </si>
  <si>
    <t>Zero-shot CLIP-L/14</t>
  </si>
  <si>
    <t>Zero-shot CLIP-L/14@336</t>
  </si>
  <si>
    <t>Linear Probe</t>
  </si>
  <si>
    <t>Full Fine-tune</t>
  </si>
  <si>
    <t>LoRA ViT-B/32</t>
  </si>
  <si>
    <t>LoRA ViT-L/14</t>
  </si>
  <si>
    <t>LoRA ViT-L/14@336</t>
  </si>
  <si>
    <t>Ensemble (3 models)</t>
  </si>
  <si>
    <t>HC-OA (Ours)</t>
  </si>
  <si>
    <t>提升(%)</t>
  </si>
  <si>
    <t>配置</t>
  </si>
  <si>
    <t>准确率(%)</t>
  </si>
  <si>
    <t>变化(%)</t>
  </si>
  <si>
    <t>HC-OA (完整)</t>
  </si>
  <si>
    <t>w/o 序数损失</t>
  </si>
  <si>
    <t>w/o TTA</t>
  </si>
  <si>
    <t>w/o 层次化</t>
  </si>
  <si>
    <t>w/o 深层分类头</t>
  </si>
  <si>
    <t>w/o Mixup</t>
  </si>
  <si>
    <t>w/o 类别权重</t>
  </si>
  <si>
    <t>基线 (仅LoRA)</t>
  </si>
  <si>
    <t>表5-1 不同TTA级别与聚合策略对比</t>
  </si>
  <si>
    <t>TTA级别</t>
  </si>
  <si>
    <t>无TTA</t>
  </si>
  <si>
    <t>表5-2 TTA对难分类别的提升效果</t>
  </si>
  <si>
    <t>无TTA(%)</t>
  </si>
  <si>
    <t>测试样本数</t>
  </si>
  <si>
    <t>LoRA Rank</t>
  </si>
  <si>
    <t>可训练参数</t>
  </si>
  <si>
    <t>总参数</t>
  </si>
  <si>
    <t>参数比例(%)</t>
  </si>
  <si>
    <t>训练轮数</t>
  </si>
  <si>
    <t>表6-2 不同视觉骨干网络对比</t>
  </si>
  <si>
    <t>骨干网络</t>
  </si>
  <si>
    <t>参数量(M)</t>
  </si>
  <si>
    <t>输入分辨率</t>
  </si>
  <si>
    <t>可训练参数(M)</t>
  </si>
  <si>
    <t>推理时间(ms)</t>
  </si>
  <si>
    <t>ViT-B/32</t>
  </si>
  <si>
    <t>ViT-B/16</t>
  </si>
  <si>
    <t>ViT-L/14</t>
  </si>
  <si>
    <t>ViT-L/14@336</t>
  </si>
  <si>
    <t>Epoch</t>
  </si>
  <si>
    <t>训练损失</t>
  </si>
  <si>
    <t>验证损失</t>
  </si>
  <si>
    <t>训练准确率(%)</t>
  </si>
  <si>
    <t>验证准确率(%)</t>
  </si>
  <si>
    <t>真实\预测</t>
  </si>
  <si>
    <t>C-Sd</t>
  </si>
  <si>
    <t>C-Jt</t>
  </si>
  <si>
    <t>C-Hd</t>
  </si>
  <si>
    <t>C-Fl</t>
  </si>
  <si>
    <t>C-Mt</t>
  </si>
  <si>
    <t>W-Sd</t>
  </si>
  <si>
    <t>W-Tl</t>
  </si>
  <si>
    <t>W-Jt</t>
  </si>
  <si>
    <t>W-Hd</t>
  </si>
  <si>
    <t>W-Mt</t>
  </si>
  <si>
    <t>A-Sd</t>
  </si>
  <si>
    <t>A-Sq</t>
  </si>
  <si>
    <t>A-Fl</t>
  </si>
  <si>
    <t>A-BS</t>
  </si>
  <si>
    <t>A-BO</t>
  </si>
  <si>
    <r>
      <rPr>
        <sz val="10"/>
        <color theme="1"/>
        <rFont val="宋体"/>
        <family val="2"/>
        <charset val="134"/>
      </rPr>
      <t>基础级</t>
    </r>
    <r>
      <rPr>
        <sz val="10"/>
        <color theme="1"/>
        <rFont val="Arial"/>
        <family val="2"/>
      </rPr>
      <t xml:space="preserve"> (2x)</t>
    </r>
    <phoneticPr fontId="4" type="noConversion"/>
  </si>
  <si>
    <r>
      <rPr>
        <sz val="10"/>
        <color theme="1"/>
        <rFont val="宋体"/>
        <family val="2"/>
        <charset val="134"/>
      </rPr>
      <t>中等级</t>
    </r>
    <r>
      <rPr>
        <sz val="10"/>
        <color theme="1"/>
        <rFont val="Arial"/>
        <family val="2"/>
      </rPr>
      <t xml:space="preserve"> (5x)</t>
    </r>
    <phoneticPr fontId="4" type="noConversion"/>
  </si>
  <si>
    <r>
      <rPr>
        <sz val="10"/>
        <color theme="1"/>
        <rFont val="宋体"/>
        <family val="2"/>
        <charset val="134"/>
      </rPr>
      <t>强增强级</t>
    </r>
    <r>
      <rPr>
        <sz val="10"/>
        <color theme="1"/>
        <rFont val="Arial"/>
        <family val="2"/>
      </rPr>
      <t>(10x)</t>
    </r>
    <phoneticPr fontId="4" type="noConversion"/>
  </si>
  <si>
    <r>
      <rPr>
        <sz val="10"/>
        <color theme="1"/>
        <rFont val="宋体"/>
        <family val="2"/>
        <charset val="134"/>
      </rPr>
      <t>强增强级</t>
    </r>
    <r>
      <rPr>
        <sz val="10"/>
        <color theme="1"/>
        <rFont val="Arial"/>
        <family val="2"/>
      </rPr>
      <t xml:space="preserve"> TTA(%)</t>
    </r>
    <phoneticPr fontId="4" type="noConversion"/>
  </si>
  <si>
    <t xml:space="preserve"> </t>
    <phoneticPr fontId="4" type="noConversion"/>
  </si>
  <si>
    <r>
      <rPr>
        <sz val="10"/>
        <rFont val="宋体"/>
        <family val="3"/>
        <charset val="134"/>
      </rPr>
      <t>玉米</t>
    </r>
    <r>
      <rPr>
        <sz val="10"/>
        <rFont val="Times New Roman"/>
        <family val="1"/>
      </rPr>
      <t>-</t>
    </r>
    <r>
      <rPr>
        <sz val="10"/>
        <rFont val="宋体"/>
        <family val="1"/>
        <charset val="134"/>
      </rPr>
      <t>苗</t>
    </r>
    <r>
      <rPr>
        <sz val="10"/>
        <rFont val="宋体"/>
        <family val="3"/>
        <charset val="134"/>
      </rPr>
      <t>期</t>
    </r>
    <phoneticPr fontId="4" type="noConversion"/>
  </si>
  <si>
    <r>
      <rPr>
        <sz val="10"/>
        <rFont val="宋体"/>
        <family val="3"/>
        <charset val="134"/>
      </rPr>
      <t>玉米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拔节期</t>
    </r>
    <phoneticPr fontId="4" type="noConversion"/>
  </si>
  <si>
    <r>
      <rPr>
        <sz val="10"/>
        <rFont val="宋体"/>
        <family val="3"/>
        <charset val="134"/>
      </rPr>
      <t>玉米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抽穗期</t>
    </r>
    <phoneticPr fontId="4" type="noConversion"/>
  </si>
  <si>
    <r>
      <rPr>
        <sz val="10"/>
        <rFont val="宋体"/>
        <family val="3"/>
        <charset val="134"/>
      </rPr>
      <t>玉米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灌浆期</t>
    </r>
    <phoneticPr fontId="4" type="noConversion"/>
  </si>
  <si>
    <r>
      <rPr>
        <sz val="10"/>
        <rFont val="宋体"/>
        <family val="3"/>
        <charset val="134"/>
      </rPr>
      <t>玉米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成熟期</t>
    </r>
    <phoneticPr fontId="4" type="noConversion"/>
  </si>
  <si>
    <r>
      <rPr>
        <sz val="10"/>
        <rFont val="宋体"/>
        <family val="3"/>
        <charset val="134"/>
      </rPr>
      <t>小麦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苗期</t>
    </r>
    <phoneticPr fontId="4" type="noConversion"/>
  </si>
  <si>
    <r>
      <rPr>
        <sz val="10"/>
        <rFont val="宋体"/>
        <family val="3"/>
        <charset val="134"/>
      </rPr>
      <t>小麦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分蘖期</t>
    </r>
    <phoneticPr fontId="4" type="noConversion"/>
  </si>
  <si>
    <r>
      <rPr>
        <sz val="10"/>
        <rFont val="宋体"/>
        <family val="3"/>
        <charset val="134"/>
      </rPr>
      <t>小麦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拔节期</t>
    </r>
    <phoneticPr fontId="4" type="noConversion"/>
  </si>
  <si>
    <r>
      <rPr>
        <sz val="10"/>
        <rFont val="宋体"/>
        <family val="3"/>
        <charset val="134"/>
      </rPr>
      <t>小麦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抽穗期</t>
    </r>
    <phoneticPr fontId="4" type="noConversion"/>
  </si>
  <si>
    <r>
      <rPr>
        <sz val="10"/>
        <rFont val="宋体"/>
        <family val="3"/>
        <charset val="134"/>
      </rPr>
      <t>小麦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成熟期</t>
    </r>
    <phoneticPr fontId="4" type="noConversion"/>
  </si>
  <si>
    <r>
      <rPr>
        <sz val="10"/>
        <rFont val="宋体"/>
        <family val="3"/>
        <charset val="134"/>
      </rPr>
      <t>棉花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苗期</t>
    </r>
    <phoneticPr fontId="4" type="noConversion"/>
  </si>
  <si>
    <r>
      <rPr>
        <sz val="10"/>
        <rFont val="宋体"/>
        <family val="3"/>
        <charset val="134"/>
      </rPr>
      <t>棉花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现蕾期</t>
    </r>
    <phoneticPr fontId="4" type="noConversion"/>
  </si>
  <si>
    <r>
      <rPr>
        <sz val="10"/>
        <rFont val="宋体"/>
        <family val="3"/>
        <charset val="134"/>
      </rPr>
      <t>棉花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开花期</t>
    </r>
    <phoneticPr fontId="4" type="noConversion"/>
  </si>
  <si>
    <r>
      <rPr>
        <sz val="10"/>
        <rFont val="宋体"/>
        <family val="3"/>
        <charset val="134"/>
      </rPr>
      <t>棉花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花铃期</t>
    </r>
    <phoneticPr fontId="4" type="noConversion"/>
  </si>
  <si>
    <r>
      <rPr>
        <sz val="10"/>
        <rFont val="宋体"/>
        <family val="3"/>
        <charset val="134"/>
      </rPr>
      <t>棉花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吐絮期</t>
    </r>
    <phoneticPr fontId="4" type="noConversion"/>
  </si>
  <si>
    <r>
      <rPr>
        <sz val="10"/>
        <color theme="1"/>
        <rFont val="微软雅黑"/>
        <family val="2"/>
        <charset val="134"/>
      </rPr>
      <t>均值融合</t>
    </r>
    <r>
      <rPr>
        <sz val="10"/>
        <color theme="1"/>
        <rFont val="Arial"/>
        <family val="2"/>
      </rPr>
      <t>(%)</t>
    </r>
    <phoneticPr fontId="4" type="noConversion"/>
  </si>
  <si>
    <r>
      <rPr>
        <sz val="10"/>
        <color theme="1"/>
        <rFont val="微软雅黑"/>
        <family val="2"/>
        <charset val="134"/>
      </rPr>
      <t>最大值融合</t>
    </r>
    <r>
      <rPr>
        <sz val="10"/>
        <color theme="1"/>
        <rFont val="Arial"/>
        <family val="2"/>
      </rPr>
      <t>(%)</t>
    </r>
    <phoneticPr fontId="4" type="noConversion"/>
  </si>
  <si>
    <r>
      <rPr>
        <sz val="10"/>
        <color theme="1"/>
        <rFont val="微软雅黑"/>
        <family val="2"/>
        <charset val="134"/>
      </rPr>
      <t>加权融合</t>
    </r>
    <r>
      <rPr>
        <sz val="10"/>
        <color theme="1"/>
        <rFont val="Arial"/>
        <family val="2"/>
      </rPr>
      <t>(%)</t>
    </r>
    <phoneticPr fontId="4" type="noConversion"/>
  </si>
  <si>
    <r>
      <rPr>
        <sz val="10"/>
        <color theme="1"/>
        <rFont val="微软雅黑"/>
        <family val="2"/>
        <charset val="134"/>
      </rPr>
      <t>投票融合</t>
    </r>
    <r>
      <rPr>
        <sz val="10"/>
        <color theme="1"/>
        <rFont val="Arial"/>
        <family val="2"/>
      </rPr>
      <t>(%)</t>
    </r>
    <phoneticPr fontId="4" type="noConversion"/>
  </si>
  <si>
    <t>线性探测</t>
  </si>
  <si>
    <t>全参数微调</t>
  </si>
  <si>
    <t>集成学习</t>
  </si>
  <si>
    <t>HC-LoRA</t>
    <phoneticPr fontId="4" type="noConversion"/>
  </si>
  <si>
    <t>Zero-shot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</si>
</sst>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宋体"/>
      <family val="2"/>
      <scheme val="minor"/>
    </font>
    <font>
      <b/>
      <sz val="11"/>
      <name val="Times New Roman"/>
    </font>
    <font>
      <sz val="10"/>
      <name val="Times New Roman"/>
    </font>
    <font>
      <b/>
      <sz val="12"/>
      <name val="Times New Roman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0"/>
      <color theme="1"/>
      <name val="Arial"/>
      <family val="2"/>
    </font>
    <font>
      <sz val="10"/>
      <color theme="1"/>
      <name val="宋体"/>
      <family val="2"/>
      <charset val="134"/>
    </font>
    <font>
      <sz val="10"/>
      <color theme="1"/>
      <name val="Arial"/>
      <family val="2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sz val="10"/>
      <name val="宋体"/>
      <family val="1"/>
      <charset val="134"/>
    </font>
    <font>
      <sz val="10"/>
      <name val="Times New Roman"/>
      <family val="3"/>
      <charset val="134"/>
    </font>
    <font>
      <sz val="10"/>
      <color theme="1"/>
      <name val="微软雅黑"/>
      <family val="2"/>
      <charset val="134"/>
    </font>
    <font>
      <sz val="7.5"/>
      <color theme="1"/>
      <name val="宋体"/>
      <family val="3"/>
      <charset val="134"/>
      <scheme val="minor"/>
    </font>
    <font>
      <sz val="7.5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right" wrapText="1"/>
    </xf>
    <xf numFmtId="0" fontId="8" fillId="0" borderId="2" xfId="0" applyFont="1" applyBorder="1" applyAlignment="1">
      <alignment wrapText="1"/>
    </xf>
    <xf numFmtId="0" fontId="13" fillId="0" borderId="1" xfId="0" applyFont="1" applyBorder="1" applyAlignment="1">
      <alignment horizontal="center" vertical="center"/>
    </xf>
    <xf numFmtId="0" fontId="0" fillId="0" borderId="0" xfId="0"/>
    <xf numFmtId="0" fontId="15" fillId="0" borderId="0" xfId="0" applyFont="1"/>
    <xf numFmtId="0" fontId="16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/>
    <xf numFmtId="0" fontId="9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各类别样本数量分布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'图1-数据集分布'!$B$1</c:f>
              <c:strCache>
                <c:ptCount val="1"/>
                <c:pt idx="0">
                  <c:v>训练集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'图1-数据集分布'!$A$2:$A$16</c:f>
              <c:strCache>
                <c:ptCount val="15"/>
                <c:pt idx="0">
                  <c:v>玉米-出苗</c:v>
                </c:pt>
                <c:pt idx="1">
                  <c:v>玉米-拔节</c:v>
                </c:pt>
                <c:pt idx="2">
                  <c:v>玉米-抽穗</c:v>
                </c:pt>
                <c:pt idx="3">
                  <c:v>玉米-灌浆</c:v>
                </c:pt>
                <c:pt idx="4">
                  <c:v>玉米-成熟</c:v>
                </c:pt>
                <c:pt idx="5">
                  <c:v>小麦-出苗</c:v>
                </c:pt>
                <c:pt idx="6">
                  <c:v>小麦-分蘖</c:v>
                </c:pt>
                <c:pt idx="7">
                  <c:v>小麦-拔节</c:v>
                </c:pt>
                <c:pt idx="8">
                  <c:v>小麦-抽穗</c:v>
                </c:pt>
                <c:pt idx="9">
                  <c:v>小麦-成熟</c:v>
                </c:pt>
                <c:pt idx="10">
                  <c:v>棉花-出苗</c:v>
                </c:pt>
                <c:pt idx="11">
                  <c:v>棉花-现蕾</c:v>
                </c:pt>
                <c:pt idx="12">
                  <c:v>棉花-开花</c:v>
                </c:pt>
                <c:pt idx="13">
                  <c:v>棉花-花铃</c:v>
                </c:pt>
                <c:pt idx="14">
                  <c:v>棉花-吐絮</c:v>
                </c:pt>
              </c:strCache>
            </c:strRef>
          </c:cat>
          <c:val>
            <c:numRef>
              <c:f>'图1-数据集分布'!$B$2:$B$16</c:f>
              <c:numCache>
                <c:formatCode>General</c:formatCode>
                <c:ptCount val="15"/>
                <c:pt idx="0">
                  <c:v>43</c:v>
                </c:pt>
                <c:pt idx="1">
                  <c:v>50</c:v>
                </c:pt>
                <c:pt idx="2">
                  <c:v>40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67</c:v>
                </c:pt>
                <c:pt idx="10">
                  <c:v>149</c:v>
                </c:pt>
                <c:pt idx="11">
                  <c:v>188</c:v>
                </c:pt>
                <c:pt idx="12">
                  <c:v>198</c:v>
                </c:pt>
                <c:pt idx="13">
                  <c:v>195</c:v>
                </c:pt>
                <c:pt idx="14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E-42E7-ADDA-6EADA6683021}"/>
            </c:ext>
          </c:extLst>
        </c:ser>
        <c:ser>
          <c:idx val="1"/>
          <c:order val="1"/>
          <c:tx>
            <c:strRef>
              <c:f>'图1-数据集分布'!$C$1</c:f>
              <c:strCache>
                <c:ptCount val="1"/>
                <c:pt idx="0">
                  <c:v>验证集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'图1-数据集分布'!$A$2:$A$16</c:f>
              <c:strCache>
                <c:ptCount val="15"/>
                <c:pt idx="0">
                  <c:v>玉米-出苗</c:v>
                </c:pt>
                <c:pt idx="1">
                  <c:v>玉米-拔节</c:v>
                </c:pt>
                <c:pt idx="2">
                  <c:v>玉米-抽穗</c:v>
                </c:pt>
                <c:pt idx="3">
                  <c:v>玉米-灌浆</c:v>
                </c:pt>
                <c:pt idx="4">
                  <c:v>玉米-成熟</c:v>
                </c:pt>
                <c:pt idx="5">
                  <c:v>小麦-出苗</c:v>
                </c:pt>
                <c:pt idx="6">
                  <c:v>小麦-分蘖</c:v>
                </c:pt>
                <c:pt idx="7">
                  <c:v>小麦-拔节</c:v>
                </c:pt>
                <c:pt idx="8">
                  <c:v>小麦-抽穗</c:v>
                </c:pt>
                <c:pt idx="9">
                  <c:v>小麦-成熟</c:v>
                </c:pt>
                <c:pt idx="10">
                  <c:v>棉花-出苗</c:v>
                </c:pt>
                <c:pt idx="11">
                  <c:v>棉花-现蕾</c:v>
                </c:pt>
                <c:pt idx="12">
                  <c:v>棉花-开花</c:v>
                </c:pt>
                <c:pt idx="13">
                  <c:v>棉花-花铃</c:v>
                </c:pt>
                <c:pt idx="14">
                  <c:v>棉花-吐絮</c:v>
                </c:pt>
              </c:strCache>
            </c:strRef>
          </c:cat>
          <c:val>
            <c:numRef>
              <c:f>'图1-数据集分布'!$C$2:$C$16</c:f>
              <c:numCache>
                <c:formatCode>General</c:formatCode>
                <c:ptCount val="15"/>
                <c:pt idx="0">
                  <c:v>9</c:v>
                </c:pt>
                <c:pt idx="1">
                  <c:v>10</c:v>
                </c:pt>
                <c:pt idx="2">
                  <c:v>8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14</c:v>
                </c:pt>
                <c:pt idx="10">
                  <c:v>32</c:v>
                </c:pt>
                <c:pt idx="11">
                  <c:v>40</c:v>
                </c:pt>
                <c:pt idx="12">
                  <c:v>42</c:v>
                </c:pt>
                <c:pt idx="13">
                  <c:v>42</c:v>
                </c:pt>
                <c:pt idx="1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FE-42E7-ADDA-6EADA6683021}"/>
            </c:ext>
          </c:extLst>
        </c:ser>
        <c:ser>
          <c:idx val="2"/>
          <c:order val="2"/>
          <c:tx>
            <c:strRef>
              <c:f>'图1-数据集分布'!$D$1</c:f>
              <c:strCache>
                <c:ptCount val="1"/>
                <c:pt idx="0">
                  <c:v>测试集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'图1-数据集分布'!$A$2:$A$16</c:f>
              <c:strCache>
                <c:ptCount val="15"/>
                <c:pt idx="0">
                  <c:v>玉米-出苗</c:v>
                </c:pt>
                <c:pt idx="1">
                  <c:v>玉米-拔节</c:v>
                </c:pt>
                <c:pt idx="2">
                  <c:v>玉米-抽穗</c:v>
                </c:pt>
                <c:pt idx="3">
                  <c:v>玉米-灌浆</c:v>
                </c:pt>
                <c:pt idx="4">
                  <c:v>玉米-成熟</c:v>
                </c:pt>
                <c:pt idx="5">
                  <c:v>小麦-出苗</c:v>
                </c:pt>
                <c:pt idx="6">
                  <c:v>小麦-分蘖</c:v>
                </c:pt>
                <c:pt idx="7">
                  <c:v>小麦-拔节</c:v>
                </c:pt>
                <c:pt idx="8">
                  <c:v>小麦-抽穗</c:v>
                </c:pt>
                <c:pt idx="9">
                  <c:v>小麦-成熟</c:v>
                </c:pt>
                <c:pt idx="10">
                  <c:v>棉花-出苗</c:v>
                </c:pt>
                <c:pt idx="11">
                  <c:v>棉花-现蕾</c:v>
                </c:pt>
                <c:pt idx="12">
                  <c:v>棉花-开花</c:v>
                </c:pt>
                <c:pt idx="13">
                  <c:v>棉花-花铃</c:v>
                </c:pt>
                <c:pt idx="14">
                  <c:v>棉花-吐絮</c:v>
                </c:pt>
              </c:strCache>
            </c:strRef>
          </c:cat>
          <c:val>
            <c:numRef>
              <c:f>'图1-数据集分布'!$D$2:$D$16</c:f>
              <c:numCache>
                <c:formatCode>General</c:formatCode>
                <c:ptCount val="1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22</c:v>
                </c:pt>
                <c:pt idx="11">
                  <c:v>28</c:v>
                </c:pt>
                <c:pt idx="12">
                  <c:v>30</c:v>
                </c:pt>
                <c:pt idx="13">
                  <c:v>29</c:v>
                </c:pt>
                <c:pt idx="1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FE-42E7-ADDA-6EADA6683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类别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样本数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不同方法识别准确率对比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'图2-主实验对比'!$B$1</c:f>
              <c:strCache>
                <c:ptCount val="1"/>
                <c:pt idx="0">
                  <c:v>15类准确率(%)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'图2-主实验对比'!$A$2:$A$11</c:f>
              <c:strCache>
                <c:ptCount val="10"/>
                <c:pt idx="0">
                  <c:v>Zero-shot CLIP-B/32</c:v>
                </c:pt>
                <c:pt idx="1">
                  <c:v>Zero-shot CLIP-L/14</c:v>
                </c:pt>
                <c:pt idx="2">
                  <c:v>Zero-shot CLIP-L/14@336</c:v>
                </c:pt>
                <c:pt idx="3">
                  <c:v>Linear Probe</c:v>
                </c:pt>
                <c:pt idx="4">
                  <c:v>Full Fine-tune</c:v>
                </c:pt>
                <c:pt idx="5">
                  <c:v>LoRA ViT-B/32</c:v>
                </c:pt>
                <c:pt idx="6">
                  <c:v>LoRA ViT-L/14</c:v>
                </c:pt>
                <c:pt idx="7">
                  <c:v>LoRA ViT-L/14@336</c:v>
                </c:pt>
                <c:pt idx="8">
                  <c:v>Ensemble (3 models)</c:v>
                </c:pt>
                <c:pt idx="9">
                  <c:v>HC-OA (Ours)</c:v>
                </c:pt>
              </c:strCache>
            </c:strRef>
          </c:cat>
          <c:val>
            <c:numRef>
              <c:f>'图2-主实验对比'!$B$2:$B$11</c:f>
              <c:numCache>
                <c:formatCode>General</c:formatCode>
                <c:ptCount val="10"/>
                <c:pt idx="0">
                  <c:v>15.3</c:v>
                </c:pt>
                <c:pt idx="1">
                  <c:v>18.2</c:v>
                </c:pt>
                <c:pt idx="2">
                  <c:v>19.600000000000001</c:v>
                </c:pt>
                <c:pt idx="3">
                  <c:v>58.7</c:v>
                </c:pt>
                <c:pt idx="4">
                  <c:v>72.400000000000006</c:v>
                </c:pt>
                <c:pt idx="5">
                  <c:v>68.47</c:v>
                </c:pt>
                <c:pt idx="6">
                  <c:v>81.77</c:v>
                </c:pt>
                <c:pt idx="7">
                  <c:v>84.73</c:v>
                </c:pt>
                <c:pt idx="8">
                  <c:v>85.22</c:v>
                </c:pt>
                <c:pt idx="9">
                  <c:v>88.36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A-4C08-AD8A-133B753742D4}"/>
            </c:ext>
          </c:extLst>
        </c:ser>
        <c:ser>
          <c:idx val="1"/>
          <c:order val="1"/>
          <c:tx>
            <c:strRef>
              <c:f>'图2-主实验对比'!$C$1</c:f>
              <c:strCache>
                <c:ptCount val="1"/>
                <c:pt idx="0">
                  <c:v>5类棉花准确率(%)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'图2-主实验对比'!$A$2:$A$11</c:f>
              <c:strCache>
                <c:ptCount val="10"/>
                <c:pt idx="0">
                  <c:v>Zero-shot CLIP-B/32</c:v>
                </c:pt>
                <c:pt idx="1">
                  <c:v>Zero-shot CLIP-L/14</c:v>
                </c:pt>
                <c:pt idx="2">
                  <c:v>Zero-shot CLIP-L/14@336</c:v>
                </c:pt>
                <c:pt idx="3">
                  <c:v>Linear Probe</c:v>
                </c:pt>
                <c:pt idx="4">
                  <c:v>Full Fine-tune</c:v>
                </c:pt>
                <c:pt idx="5">
                  <c:v>LoRA ViT-B/32</c:v>
                </c:pt>
                <c:pt idx="6">
                  <c:v>LoRA ViT-L/14</c:v>
                </c:pt>
                <c:pt idx="7">
                  <c:v>LoRA ViT-L/14@336</c:v>
                </c:pt>
                <c:pt idx="8">
                  <c:v>Ensemble (3 models)</c:v>
                </c:pt>
                <c:pt idx="9">
                  <c:v>HC-OA (Ours)</c:v>
                </c:pt>
              </c:strCache>
            </c:strRef>
          </c:cat>
          <c:val>
            <c:numRef>
              <c:f>'图2-主实验对比'!$C$2:$C$11</c:f>
              <c:numCache>
                <c:formatCode>General</c:formatCode>
                <c:ptCount val="10"/>
                <c:pt idx="0">
                  <c:v>30.43</c:v>
                </c:pt>
                <c:pt idx="1">
                  <c:v>20.29</c:v>
                </c:pt>
                <c:pt idx="2">
                  <c:v>19.57</c:v>
                </c:pt>
                <c:pt idx="3">
                  <c:v>72.5</c:v>
                </c:pt>
                <c:pt idx="4">
                  <c:v>85.5</c:v>
                </c:pt>
                <c:pt idx="5">
                  <c:v>82.6</c:v>
                </c:pt>
                <c:pt idx="6">
                  <c:v>88.4</c:v>
                </c:pt>
                <c:pt idx="7">
                  <c:v>91.3</c:v>
                </c:pt>
                <c:pt idx="8">
                  <c:v>92.75</c:v>
                </c:pt>
                <c:pt idx="9">
                  <c:v>95.65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A-4C08-AD8A-133B75374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准确率 </a:t>
                </a:r>
                <a:r>
                  <a:rPr lang="en-US" altLang="zh-CN"/>
                  <a:t>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各类别准确率对比：扁平</a:t>
            </a:r>
            <a:r>
              <a:rPr lang="en-US"/>
              <a:t>LoRA vs HC-OA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5462962962962962E-2"/>
          <c:y val="4.5128205128205132E-2"/>
          <c:w val="0.97453703703703709"/>
          <c:h val="0.9548717948717948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'图3-各类别准确率'!#REF!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'图3-各类别准确率'!$A$2:$A$16</c:f>
              <c:strCache>
                <c:ptCount val="15"/>
                <c:pt idx="0">
                  <c:v>玉米-苗期</c:v>
                </c:pt>
                <c:pt idx="1">
                  <c:v>玉米-拔节期</c:v>
                </c:pt>
                <c:pt idx="2">
                  <c:v>玉米-抽穗期</c:v>
                </c:pt>
                <c:pt idx="3">
                  <c:v>玉米-灌浆期</c:v>
                </c:pt>
                <c:pt idx="4">
                  <c:v>玉米-成熟期</c:v>
                </c:pt>
                <c:pt idx="5">
                  <c:v>小麦-苗期</c:v>
                </c:pt>
                <c:pt idx="6">
                  <c:v>小麦-分蘖期</c:v>
                </c:pt>
                <c:pt idx="7">
                  <c:v>小麦-拔节期</c:v>
                </c:pt>
                <c:pt idx="8">
                  <c:v>小麦-抽穗期</c:v>
                </c:pt>
                <c:pt idx="9">
                  <c:v>小麦-成熟期</c:v>
                </c:pt>
                <c:pt idx="10">
                  <c:v>棉花-苗期</c:v>
                </c:pt>
                <c:pt idx="11">
                  <c:v>棉花-现蕾期</c:v>
                </c:pt>
                <c:pt idx="12">
                  <c:v>棉花-开花期</c:v>
                </c:pt>
                <c:pt idx="13">
                  <c:v>棉花-花铃期</c:v>
                </c:pt>
                <c:pt idx="14">
                  <c:v>棉花-吐絮期</c:v>
                </c:pt>
              </c:strCache>
            </c:strRef>
          </c:cat>
          <c:val>
            <c:numRef>
              <c:f>'图3-各类别准确率'!#REF!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4-4668-ABCC-56CD3B9D0245}"/>
            </c:ext>
          </c:extLst>
        </c:ser>
        <c:ser>
          <c:idx val="1"/>
          <c:order val="1"/>
          <c:tx>
            <c:strRef>
              <c:f>'图3-各类别准确率'!$B$1</c:f>
              <c:strCache>
                <c:ptCount val="1"/>
                <c:pt idx="0">
                  <c:v>HC-LoRA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'图3-各类别准确率'!$A$2:$A$16</c:f>
              <c:strCache>
                <c:ptCount val="15"/>
                <c:pt idx="0">
                  <c:v>玉米-苗期</c:v>
                </c:pt>
                <c:pt idx="1">
                  <c:v>玉米-拔节期</c:v>
                </c:pt>
                <c:pt idx="2">
                  <c:v>玉米-抽穗期</c:v>
                </c:pt>
                <c:pt idx="3">
                  <c:v>玉米-灌浆期</c:v>
                </c:pt>
                <c:pt idx="4">
                  <c:v>玉米-成熟期</c:v>
                </c:pt>
                <c:pt idx="5">
                  <c:v>小麦-苗期</c:v>
                </c:pt>
                <c:pt idx="6">
                  <c:v>小麦-分蘖期</c:v>
                </c:pt>
                <c:pt idx="7">
                  <c:v>小麦-拔节期</c:v>
                </c:pt>
                <c:pt idx="8">
                  <c:v>小麦-抽穗期</c:v>
                </c:pt>
                <c:pt idx="9">
                  <c:v>小麦-成熟期</c:v>
                </c:pt>
                <c:pt idx="10">
                  <c:v>棉花-苗期</c:v>
                </c:pt>
                <c:pt idx="11">
                  <c:v>棉花-现蕾期</c:v>
                </c:pt>
                <c:pt idx="12">
                  <c:v>棉花-开花期</c:v>
                </c:pt>
                <c:pt idx="13">
                  <c:v>棉花-花铃期</c:v>
                </c:pt>
                <c:pt idx="14">
                  <c:v>棉花-吐絮期</c:v>
                </c:pt>
              </c:strCache>
            </c:strRef>
          </c:cat>
          <c:val>
            <c:numRef>
              <c:f>'图3-各类别准确率'!$B$2:$B$16</c:f>
              <c:numCache>
                <c:formatCode>General</c:formatCode>
                <c:ptCount val="15"/>
                <c:pt idx="0">
                  <c:v>59.12</c:v>
                </c:pt>
                <c:pt idx="1">
                  <c:v>51.56</c:v>
                </c:pt>
                <c:pt idx="2">
                  <c:v>47.45</c:v>
                </c:pt>
                <c:pt idx="3">
                  <c:v>79.72</c:v>
                </c:pt>
                <c:pt idx="4">
                  <c:v>77.040000000000006</c:v>
                </c:pt>
                <c:pt idx="5">
                  <c:v>28.46</c:v>
                </c:pt>
                <c:pt idx="6">
                  <c:v>40.840000000000003</c:v>
                </c:pt>
                <c:pt idx="7">
                  <c:v>59.56</c:v>
                </c:pt>
                <c:pt idx="8">
                  <c:v>76.12</c:v>
                </c:pt>
                <c:pt idx="9">
                  <c:v>81.180000000000007</c:v>
                </c:pt>
                <c:pt idx="10">
                  <c:v>70.83</c:v>
                </c:pt>
                <c:pt idx="11">
                  <c:v>79.290000000000006</c:v>
                </c:pt>
                <c:pt idx="12">
                  <c:v>81.180000000000007</c:v>
                </c:pt>
                <c:pt idx="13">
                  <c:v>84.31</c:v>
                </c:pt>
                <c:pt idx="14">
                  <c:v>88.15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24-4668-ABCC-56CD3B9D0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5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准确率 </a:t>
                </a:r>
                <a:r>
                  <a:rPr lang="en-US" altLang="zh-CN"/>
                  <a:t>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1327680"/>
        <c:axId val="1811328512"/>
      </c:barChart>
      <c:catAx>
        <c:axId val="1811327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1328512"/>
        <c:crosses val="autoZero"/>
        <c:auto val="1"/>
        <c:lblAlgn val="ctr"/>
        <c:lblOffset val="100"/>
        <c:noMultiLvlLbl val="0"/>
      </c:catAx>
      <c:valAx>
        <c:axId val="181132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132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0145039"/>
        <c:axId val="1750142127"/>
      </c:barChart>
      <c:catAx>
        <c:axId val="1750145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0142127"/>
        <c:crosses val="autoZero"/>
        <c:auto val="1"/>
        <c:lblAlgn val="ctr"/>
        <c:lblOffset val="100"/>
        <c:noMultiLvlLbl val="0"/>
      </c:catAx>
      <c:valAx>
        <c:axId val="175014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014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'图3-各类别准确率'!$C$1</c:f>
              <c:strCache>
                <c:ptCount val="1"/>
                <c:pt idx="0">
                  <c:v>Zero-shot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'图3-各类别准确率'!$A$12:$A$16</c:f>
              <c:strCache>
                <c:ptCount val="5"/>
                <c:pt idx="0">
                  <c:v>棉花-苗期</c:v>
                </c:pt>
                <c:pt idx="1">
                  <c:v>棉花-现蕾期</c:v>
                </c:pt>
                <c:pt idx="2">
                  <c:v>棉花-开花期</c:v>
                </c:pt>
                <c:pt idx="3">
                  <c:v>棉花-花铃期</c:v>
                </c:pt>
                <c:pt idx="4">
                  <c:v>棉花-吐絮期</c:v>
                </c:pt>
              </c:strCache>
            </c:strRef>
          </c:cat>
          <c:val>
            <c:numRef>
              <c:f>'图3-各类别准确率'!$C$12:$C$16</c:f>
              <c:numCache>
                <c:formatCode>General</c:formatCode>
                <c:ptCount val="5"/>
                <c:pt idx="0">
                  <c:v>16.079999999999998</c:v>
                </c:pt>
                <c:pt idx="1">
                  <c:v>18.29</c:v>
                </c:pt>
                <c:pt idx="2">
                  <c:v>21.41</c:v>
                </c:pt>
                <c:pt idx="3">
                  <c:v>20.65</c:v>
                </c:pt>
                <c:pt idx="4">
                  <c:v>21.43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08-4FA9-A70E-33B50E30356C}"/>
            </c:ext>
          </c:extLst>
        </c:ser>
        <c:ser>
          <c:idx val="2"/>
          <c:order val="1"/>
          <c:tx>
            <c:strRef>
              <c:f>'图3-各类别准确率'!$D$1</c:f>
              <c:strCache>
                <c:ptCount val="1"/>
                <c:pt idx="0">
                  <c:v>线性探测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'图3-各类别准确率'!$A$12:$A$16</c:f>
              <c:strCache>
                <c:ptCount val="5"/>
                <c:pt idx="0">
                  <c:v>棉花-苗期</c:v>
                </c:pt>
                <c:pt idx="1">
                  <c:v>棉花-现蕾期</c:v>
                </c:pt>
                <c:pt idx="2">
                  <c:v>棉花-开花期</c:v>
                </c:pt>
                <c:pt idx="3">
                  <c:v>棉花-花铃期</c:v>
                </c:pt>
                <c:pt idx="4">
                  <c:v>棉花-吐絮期</c:v>
                </c:pt>
              </c:strCache>
            </c:strRef>
          </c:cat>
          <c:val>
            <c:numRef>
              <c:f>'图3-各类别准确率'!$D$12:$D$16</c:f>
              <c:numCache>
                <c:formatCode>General</c:formatCode>
                <c:ptCount val="5"/>
                <c:pt idx="0">
                  <c:v>44.2</c:v>
                </c:pt>
                <c:pt idx="1">
                  <c:v>47.85</c:v>
                </c:pt>
                <c:pt idx="2">
                  <c:v>52.1</c:v>
                </c:pt>
                <c:pt idx="3">
                  <c:v>55.43</c:v>
                </c:pt>
                <c:pt idx="4">
                  <c:v>56.42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08-4FA9-A70E-33B50E30356C}"/>
            </c:ext>
          </c:extLst>
        </c:ser>
        <c:ser>
          <c:idx val="3"/>
          <c:order val="2"/>
          <c:tx>
            <c:strRef>
              <c:f>'图3-各类别准确率'!$E$1</c:f>
              <c:strCache>
                <c:ptCount val="1"/>
                <c:pt idx="0">
                  <c:v>全参数微调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'图3-各类别准确率'!$A$12:$A$16</c:f>
              <c:strCache>
                <c:ptCount val="5"/>
                <c:pt idx="0">
                  <c:v>棉花-苗期</c:v>
                </c:pt>
                <c:pt idx="1">
                  <c:v>棉花-现蕾期</c:v>
                </c:pt>
                <c:pt idx="2">
                  <c:v>棉花-开花期</c:v>
                </c:pt>
                <c:pt idx="3">
                  <c:v>棉花-花铃期</c:v>
                </c:pt>
                <c:pt idx="4">
                  <c:v>棉花-吐絮期</c:v>
                </c:pt>
              </c:strCache>
            </c:strRef>
          </c:cat>
          <c:val>
            <c:numRef>
              <c:f>'图3-各类别准确率'!$E$12:$E$16</c:f>
              <c:numCache>
                <c:formatCode>General</c:formatCode>
                <c:ptCount val="5"/>
                <c:pt idx="0">
                  <c:v>61.3</c:v>
                </c:pt>
                <c:pt idx="1">
                  <c:v>65.45</c:v>
                </c:pt>
                <c:pt idx="2">
                  <c:v>69.180000000000007</c:v>
                </c:pt>
                <c:pt idx="3">
                  <c:v>72.150000000000006</c:v>
                </c:pt>
                <c:pt idx="4">
                  <c:v>72.52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08-4FA9-A70E-33B50E30356C}"/>
            </c:ext>
          </c:extLst>
        </c:ser>
        <c:ser>
          <c:idx val="4"/>
          <c:order val="3"/>
          <c:tx>
            <c:strRef>
              <c:f>'图3-各类别准确率'!$F$1</c:f>
              <c:strCache>
                <c:ptCount val="1"/>
                <c:pt idx="0">
                  <c:v>集成学习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'图3-各类别准确率'!$A$12:$A$16</c:f>
              <c:strCache>
                <c:ptCount val="5"/>
                <c:pt idx="0">
                  <c:v>棉花-苗期</c:v>
                </c:pt>
                <c:pt idx="1">
                  <c:v>棉花-现蕾期</c:v>
                </c:pt>
                <c:pt idx="2">
                  <c:v>棉花-开花期</c:v>
                </c:pt>
                <c:pt idx="3">
                  <c:v>棉花-花铃期</c:v>
                </c:pt>
                <c:pt idx="4">
                  <c:v>棉花-吐絮期</c:v>
                </c:pt>
              </c:strCache>
            </c:strRef>
          </c:cat>
          <c:val>
            <c:numRef>
              <c:f>'图3-各类别准确率'!$F$12:$F$16</c:f>
              <c:numCache>
                <c:formatCode>General</c:formatCode>
                <c:ptCount val="5"/>
                <c:pt idx="0">
                  <c:v>65.12</c:v>
                </c:pt>
                <c:pt idx="1">
                  <c:v>69.430000000000007</c:v>
                </c:pt>
                <c:pt idx="2">
                  <c:v>73.56</c:v>
                </c:pt>
                <c:pt idx="3">
                  <c:v>76.180000000000007</c:v>
                </c:pt>
                <c:pt idx="4">
                  <c:v>77.209999999999994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08-4FA9-A70E-33B50E30356C}"/>
            </c:ext>
          </c:extLst>
        </c:ser>
        <c:ser>
          <c:idx val="0"/>
          <c:order val="4"/>
          <c:tx>
            <c:strRef>
              <c:f>'图3-各类别准确率'!$B$1</c:f>
              <c:strCache>
                <c:ptCount val="1"/>
                <c:pt idx="0">
                  <c:v>HC-LoRA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'图3-各类别准确率'!$A$12:$A$16</c:f>
              <c:strCache>
                <c:ptCount val="5"/>
                <c:pt idx="0">
                  <c:v>棉花-苗期</c:v>
                </c:pt>
                <c:pt idx="1">
                  <c:v>棉花-现蕾期</c:v>
                </c:pt>
                <c:pt idx="2">
                  <c:v>棉花-开花期</c:v>
                </c:pt>
                <c:pt idx="3">
                  <c:v>棉花-花铃期</c:v>
                </c:pt>
                <c:pt idx="4">
                  <c:v>棉花-吐絮期</c:v>
                </c:pt>
              </c:strCache>
            </c:strRef>
          </c:cat>
          <c:val>
            <c:numRef>
              <c:f>'图3-各类别准确率'!$B$12:$B$16</c:f>
              <c:numCache>
                <c:formatCode>General</c:formatCode>
                <c:ptCount val="5"/>
                <c:pt idx="0">
                  <c:v>70.83</c:v>
                </c:pt>
                <c:pt idx="1">
                  <c:v>79.290000000000006</c:v>
                </c:pt>
                <c:pt idx="2">
                  <c:v>81.180000000000007</c:v>
                </c:pt>
                <c:pt idx="3">
                  <c:v>84.31</c:v>
                </c:pt>
                <c:pt idx="4">
                  <c:v>88.15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8-4FA9-A70E-33B50E303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2262399"/>
        <c:axId val="1752274879"/>
      </c:barChart>
      <c:catAx>
        <c:axId val="175226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52274879"/>
        <c:crosses val="autoZero"/>
        <c:auto val="1"/>
        <c:lblAlgn val="ctr"/>
        <c:lblOffset val="100"/>
        <c:noMultiLvlLbl val="0"/>
      </c:catAx>
      <c:valAx>
        <c:axId val="175227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226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ea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'图3-各类别准确率'!$C$1</c:f>
              <c:strCache>
                <c:ptCount val="1"/>
                <c:pt idx="0">
                  <c:v>Zero-shot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'图3-各类别准确率'!$A$7:$A$11</c:f>
              <c:strCache>
                <c:ptCount val="5"/>
                <c:pt idx="0">
                  <c:v>小麦-苗期</c:v>
                </c:pt>
                <c:pt idx="1">
                  <c:v>小麦-分蘖期</c:v>
                </c:pt>
                <c:pt idx="2">
                  <c:v>小麦-拔节期</c:v>
                </c:pt>
                <c:pt idx="3">
                  <c:v>小麦-抽穗期</c:v>
                </c:pt>
                <c:pt idx="4">
                  <c:v>小麦-成熟期</c:v>
                </c:pt>
              </c:strCache>
            </c:strRef>
          </c:cat>
          <c:val>
            <c:numRef>
              <c:f>'图3-各类别准确率'!$C$7:$C$11</c:f>
              <c:numCache>
                <c:formatCode>General</c:formatCode>
                <c:ptCount val="5"/>
                <c:pt idx="0">
                  <c:v>11.45</c:v>
                </c:pt>
                <c:pt idx="1">
                  <c:v>13.66</c:v>
                </c:pt>
                <c:pt idx="2">
                  <c:v>17.579999999999998</c:v>
                </c:pt>
                <c:pt idx="3">
                  <c:v>25.82</c:v>
                </c:pt>
                <c:pt idx="4">
                  <c:v>28.21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C2-45B2-A442-911F5F516299}"/>
            </c:ext>
          </c:extLst>
        </c:ser>
        <c:ser>
          <c:idx val="2"/>
          <c:order val="1"/>
          <c:tx>
            <c:strRef>
              <c:f>'图3-各类别准确率'!$D$1</c:f>
              <c:strCache>
                <c:ptCount val="1"/>
                <c:pt idx="0">
                  <c:v>线性探测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'图3-各类别准确率'!$A$7:$A$11</c:f>
              <c:strCache>
                <c:ptCount val="5"/>
                <c:pt idx="0">
                  <c:v>小麦-苗期</c:v>
                </c:pt>
                <c:pt idx="1">
                  <c:v>小麦-分蘖期</c:v>
                </c:pt>
                <c:pt idx="2">
                  <c:v>小麦-拔节期</c:v>
                </c:pt>
                <c:pt idx="3">
                  <c:v>小麦-抽穗期</c:v>
                </c:pt>
                <c:pt idx="4">
                  <c:v>小麦-成熟期</c:v>
                </c:pt>
              </c:strCache>
            </c:strRef>
          </c:cat>
          <c:val>
            <c:numRef>
              <c:f>'图3-各类别准确率'!$D$7:$D$11</c:f>
              <c:numCache>
                <c:formatCode>General</c:formatCode>
                <c:ptCount val="5"/>
                <c:pt idx="0">
                  <c:v>15.2</c:v>
                </c:pt>
                <c:pt idx="1">
                  <c:v>19.399999999999999</c:v>
                </c:pt>
                <c:pt idx="2">
                  <c:v>26.7</c:v>
                </c:pt>
                <c:pt idx="3">
                  <c:v>40.200000000000003</c:v>
                </c:pt>
                <c:pt idx="4">
                  <c:v>44.5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C2-45B2-A442-911F5F516299}"/>
            </c:ext>
          </c:extLst>
        </c:ser>
        <c:ser>
          <c:idx val="3"/>
          <c:order val="2"/>
          <c:tx>
            <c:strRef>
              <c:f>'图3-各类别准确率'!$E$1</c:f>
              <c:strCache>
                <c:ptCount val="1"/>
                <c:pt idx="0">
                  <c:v>全参数微调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'图3-各类别准确率'!$A$7:$A$11</c:f>
              <c:strCache>
                <c:ptCount val="5"/>
                <c:pt idx="0">
                  <c:v>小麦-苗期</c:v>
                </c:pt>
                <c:pt idx="1">
                  <c:v>小麦-分蘖期</c:v>
                </c:pt>
                <c:pt idx="2">
                  <c:v>小麦-拔节期</c:v>
                </c:pt>
                <c:pt idx="3">
                  <c:v>小麦-抽穗期</c:v>
                </c:pt>
                <c:pt idx="4">
                  <c:v>小麦-成熟期</c:v>
                </c:pt>
              </c:strCache>
            </c:strRef>
          </c:cat>
          <c:val>
            <c:numRef>
              <c:f>'图3-各类别准确率'!$E$7:$E$11</c:f>
              <c:numCache>
                <c:formatCode>General</c:formatCode>
                <c:ptCount val="5"/>
                <c:pt idx="0">
                  <c:v>18.3</c:v>
                </c:pt>
                <c:pt idx="1">
                  <c:v>22.5</c:v>
                </c:pt>
                <c:pt idx="2">
                  <c:v>30.6</c:v>
                </c:pt>
                <c:pt idx="3">
                  <c:v>42.8</c:v>
                </c:pt>
                <c:pt idx="4">
                  <c:v>44.8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C2-45B2-A442-911F5F516299}"/>
            </c:ext>
          </c:extLst>
        </c:ser>
        <c:ser>
          <c:idx val="4"/>
          <c:order val="3"/>
          <c:tx>
            <c:strRef>
              <c:f>'图3-各类别准确率'!$F$1</c:f>
              <c:strCache>
                <c:ptCount val="1"/>
                <c:pt idx="0">
                  <c:v>集成学习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'图3-各类别准确率'!$A$7:$A$11</c:f>
              <c:strCache>
                <c:ptCount val="5"/>
                <c:pt idx="0">
                  <c:v>小麦-苗期</c:v>
                </c:pt>
                <c:pt idx="1">
                  <c:v>小麦-分蘖期</c:v>
                </c:pt>
                <c:pt idx="2">
                  <c:v>小麦-拔节期</c:v>
                </c:pt>
                <c:pt idx="3">
                  <c:v>小麦-抽穗期</c:v>
                </c:pt>
                <c:pt idx="4">
                  <c:v>小麦-成熟期</c:v>
                </c:pt>
              </c:strCache>
            </c:strRef>
          </c:cat>
          <c:val>
            <c:numRef>
              <c:f>'图3-各类别准确率'!$F$7:$F$11</c:f>
              <c:numCache>
                <c:formatCode>General</c:formatCode>
                <c:ptCount val="5"/>
                <c:pt idx="0">
                  <c:v>24.2</c:v>
                </c:pt>
                <c:pt idx="1">
                  <c:v>31.5</c:v>
                </c:pt>
                <c:pt idx="2">
                  <c:v>42.6</c:v>
                </c:pt>
                <c:pt idx="3">
                  <c:v>58.4</c:v>
                </c:pt>
                <c:pt idx="4">
                  <c:v>60.8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C2-45B2-A442-911F5F516299}"/>
            </c:ext>
          </c:extLst>
        </c:ser>
        <c:ser>
          <c:idx val="0"/>
          <c:order val="4"/>
          <c:tx>
            <c:strRef>
              <c:f>'图3-各类别准确率'!$B$1</c:f>
              <c:strCache>
                <c:ptCount val="1"/>
                <c:pt idx="0">
                  <c:v>HC-LoRA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'图3-各类别准确率'!$A$7:$A$11</c:f>
              <c:strCache>
                <c:ptCount val="5"/>
                <c:pt idx="0">
                  <c:v>小麦-苗期</c:v>
                </c:pt>
                <c:pt idx="1">
                  <c:v>小麦-分蘖期</c:v>
                </c:pt>
                <c:pt idx="2">
                  <c:v>小麦-拔节期</c:v>
                </c:pt>
                <c:pt idx="3">
                  <c:v>小麦-抽穗期</c:v>
                </c:pt>
                <c:pt idx="4">
                  <c:v>小麦-成熟期</c:v>
                </c:pt>
              </c:strCache>
            </c:strRef>
          </c:cat>
          <c:val>
            <c:numRef>
              <c:f>'图3-各类别准确率'!$B$7:$B$11</c:f>
              <c:numCache>
                <c:formatCode>General</c:formatCode>
                <c:ptCount val="5"/>
                <c:pt idx="0">
                  <c:v>28.46</c:v>
                </c:pt>
                <c:pt idx="1">
                  <c:v>40.840000000000003</c:v>
                </c:pt>
                <c:pt idx="2">
                  <c:v>59.56</c:v>
                </c:pt>
                <c:pt idx="3">
                  <c:v>76.12</c:v>
                </c:pt>
                <c:pt idx="4">
                  <c:v>81.180000000000007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2-45B2-A442-911F5F516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2262399"/>
        <c:axId val="1752274879"/>
      </c:barChart>
      <c:catAx>
        <c:axId val="175226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52274879"/>
        <c:crosses val="autoZero"/>
        <c:auto val="1"/>
        <c:lblAlgn val="ctr"/>
        <c:lblOffset val="100"/>
        <c:noMultiLvlLbl val="0"/>
      </c:catAx>
      <c:valAx>
        <c:axId val="175227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226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ea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'图3-各类别准确率'!$C$1</c:f>
              <c:strCache>
                <c:ptCount val="1"/>
                <c:pt idx="0">
                  <c:v>Zero-shot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'图3-各类别准确率'!$A$2:$A$6</c:f>
              <c:strCache>
                <c:ptCount val="5"/>
                <c:pt idx="0">
                  <c:v>玉米-苗期</c:v>
                </c:pt>
                <c:pt idx="1">
                  <c:v>玉米-拔节期</c:v>
                </c:pt>
                <c:pt idx="2">
                  <c:v>玉米-抽穗期</c:v>
                </c:pt>
                <c:pt idx="3">
                  <c:v>玉米-灌浆期</c:v>
                </c:pt>
                <c:pt idx="4">
                  <c:v>玉米-成熟期</c:v>
                </c:pt>
              </c:strCache>
            </c:strRef>
          </c:cat>
          <c:val>
            <c:numRef>
              <c:f>'图3-各类别准确率'!$C$2:$C$6</c:f>
              <c:numCache>
                <c:formatCode>General</c:formatCode>
                <c:ptCount val="5"/>
                <c:pt idx="0">
                  <c:v>18.27</c:v>
                </c:pt>
                <c:pt idx="1">
                  <c:v>14.53</c:v>
                </c:pt>
                <c:pt idx="2">
                  <c:v>16.89</c:v>
                </c:pt>
                <c:pt idx="3">
                  <c:v>26.12</c:v>
                </c:pt>
                <c:pt idx="4">
                  <c:v>24.46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E-4479-A1B8-3D6A73B3234D}"/>
            </c:ext>
          </c:extLst>
        </c:ser>
        <c:ser>
          <c:idx val="2"/>
          <c:order val="1"/>
          <c:tx>
            <c:strRef>
              <c:f>'图3-各类别准确率'!$D$1</c:f>
              <c:strCache>
                <c:ptCount val="1"/>
                <c:pt idx="0">
                  <c:v>线性探测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'图3-各类别准确率'!$A$2:$A$6</c:f>
              <c:strCache>
                <c:ptCount val="5"/>
                <c:pt idx="0">
                  <c:v>玉米-苗期</c:v>
                </c:pt>
                <c:pt idx="1">
                  <c:v>玉米-拔节期</c:v>
                </c:pt>
                <c:pt idx="2">
                  <c:v>玉米-抽穗期</c:v>
                </c:pt>
                <c:pt idx="3">
                  <c:v>玉米-灌浆期</c:v>
                </c:pt>
                <c:pt idx="4">
                  <c:v>玉米-成熟期</c:v>
                </c:pt>
              </c:strCache>
            </c:strRef>
          </c:cat>
          <c:val>
            <c:numRef>
              <c:f>'图3-各类别准确率'!$D$2:$D$6</c:f>
              <c:numCache>
                <c:formatCode>General</c:formatCode>
                <c:ptCount val="5"/>
                <c:pt idx="0">
                  <c:v>25.4</c:v>
                </c:pt>
                <c:pt idx="1">
                  <c:v>22.1</c:v>
                </c:pt>
                <c:pt idx="2">
                  <c:v>28.6</c:v>
                </c:pt>
                <c:pt idx="3">
                  <c:v>45.8</c:v>
                </c:pt>
                <c:pt idx="4">
                  <c:v>42.3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5E-4479-A1B8-3D6A73B3234D}"/>
            </c:ext>
          </c:extLst>
        </c:ser>
        <c:ser>
          <c:idx val="3"/>
          <c:order val="2"/>
          <c:tx>
            <c:strRef>
              <c:f>'图3-各类别准确率'!$E$1</c:f>
              <c:strCache>
                <c:ptCount val="1"/>
                <c:pt idx="0">
                  <c:v>全参数微调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'图3-各类别准确率'!$A$2:$A$6</c:f>
              <c:strCache>
                <c:ptCount val="5"/>
                <c:pt idx="0">
                  <c:v>玉米-苗期</c:v>
                </c:pt>
                <c:pt idx="1">
                  <c:v>玉米-拔节期</c:v>
                </c:pt>
                <c:pt idx="2">
                  <c:v>玉米-抽穗期</c:v>
                </c:pt>
                <c:pt idx="3">
                  <c:v>玉米-灌浆期</c:v>
                </c:pt>
                <c:pt idx="4">
                  <c:v>玉米-成熟期</c:v>
                </c:pt>
              </c:strCache>
            </c:strRef>
          </c:cat>
          <c:val>
            <c:numRef>
              <c:f>'图3-各类别准确率'!$E$2:$E$6</c:f>
              <c:numCache>
                <c:formatCode>General</c:formatCode>
                <c:ptCount val="5"/>
                <c:pt idx="0">
                  <c:v>35.200000000000003</c:v>
                </c:pt>
                <c:pt idx="1">
                  <c:v>30.4</c:v>
                </c:pt>
                <c:pt idx="2">
                  <c:v>32.6</c:v>
                </c:pt>
                <c:pt idx="3">
                  <c:v>42.1</c:v>
                </c:pt>
                <c:pt idx="4">
                  <c:v>39.700000000000003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5E-4479-A1B8-3D6A73B3234D}"/>
            </c:ext>
          </c:extLst>
        </c:ser>
        <c:ser>
          <c:idx val="4"/>
          <c:order val="3"/>
          <c:tx>
            <c:strRef>
              <c:f>'图3-各类别准确率'!$F$1</c:f>
              <c:strCache>
                <c:ptCount val="1"/>
                <c:pt idx="0">
                  <c:v>集成学习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'图3-各类别准确率'!$A$2:$A$6</c:f>
              <c:strCache>
                <c:ptCount val="5"/>
                <c:pt idx="0">
                  <c:v>玉米-苗期</c:v>
                </c:pt>
                <c:pt idx="1">
                  <c:v>玉米-拔节期</c:v>
                </c:pt>
                <c:pt idx="2">
                  <c:v>玉米-抽穗期</c:v>
                </c:pt>
                <c:pt idx="3">
                  <c:v>玉米-灌浆期</c:v>
                </c:pt>
                <c:pt idx="4">
                  <c:v>玉米-成熟期</c:v>
                </c:pt>
              </c:strCache>
            </c:strRef>
          </c:cat>
          <c:val>
            <c:numRef>
              <c:f>'图3-各类别准确率'!$F$2:$F$6</c:f>
              <c:numCache>
                <c:formatCode>General</c:formatCode>
                <c:ptCount val="5"/>
                <c:pt idx="0">
                  <c:v>44.1</c:v>
                </c:pt>
                <c:pt idx="1">
                  <c:v>38.6</c:v>
                </c:pt>
                <c:pt idx="2">
                  <c:v>41.2</c:v>
                </c:pt>
                <c:pt idx="3">
                  <c:v>55.4</c:v>
                </c:pt>
                <c:pt idx="4">
                  <c:v>53.2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5E-4479-A1B8-3D6A73B3234D}"/>
            </c:ext>
          </c:extLst>
        </c:ser>
        <c:ser>
          <c:idx val="0"/>
          <c:order val="4"/>
          <c:tx>
            <c:strRef>
              <c:f>'图3-各类别准确率'!$B$1</c:f>
              <c:strCache>
                <c:ptCount val="1"/>
                <c:pt idx="0">
                  <c:v>HC-LoRA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'图3-各类别准确率'!$A$2:$A$6</c:f>
              <c:strCache>
                <c:ptCount val="5"/>
                <c:pt idx="0">
                  <c:v>玉米-苗期</c:v>
                </c:pt>
                <c:pt idx="1">
                  <c:v>玉米-拔节期</c:v>
                </c:pt>
                <c:pt idx="2">
                  <c:v>玉米-抽穗期</c:v>
                </c:pt>
                <c:pt idx="3">
                  <c:v>玉米-灌浆期</c:v>
                </c:pt>
                <c:pt idx="4">
                  <c:v>玉米-成熟期</c:v>
                </c:pt>
              </c:strCache>
            </c:strRef>
          </c:cat>
          <c:val>
            <c:numRef>
              <c:f>'图3-各类别准确率'!$B$2:$B$6</c:f>
              <c:numCache>
                <c:formatCode>General</c:formatCode>
                <c:ptCount val="5"/>
                <c:pt idx="0">
                  <c:v>59.12</c:v>
                </c:pt>
                <c:pt idx="1">
                  <c:v>51.56</c:v>
                </c:pt>
                <c:pt idx="2">
                  <c:v>47.45</c:v>
                </c:pt>
                <c:pt idx="3">
                  <c:v>79.72</c:v>
                </c:pt>
                <c:pt idx="4">
                  <c:v>77.040000000000006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E-4479-A1B8-3D6A73B32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2262399"/>
        <c:axId val="1752274879"/>
      </c:barChart>
      <c:catAx>
        <c:axId val="175226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52274879"/>
        <c:crosses val="autoZero"/>
        <c:auto val="1"/>
        <c:lblAlgn val="ctr"/>
        <c:lblOffset val="100"/>
        <c:noMultiLvlLbl val="0"/>
      </c:catAx>
      <c:valAx>
        <c:axId val="175227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226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ea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消融实验：各组件对准确率的贡献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7037037037037037E-2"/>
          <c:y val="2.7718253968253968E-2"/>
          <c:w val="0.83312210648148144"/>
          <c:h val="0.9445634920634921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'图4-消融实验'!$B$1</c:f>
              <c:strCache>
                <c:ptCount val="1"/>
                <c:pt idx="0">
                  <c:v>准确率(%)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'图4-消融实验'!$A$2:$A$9</c:f>
              <c:strCache>
                <c:ptCount val="8"/>
                <c:pt idx="0">
                  <c:v>HC-OA (完整)</c:v>
                </c:pt>
                <c:pt idx="1">
                  <c:v>w/o 序数损失</c:v>
                </c:pt>
                <c:pt idx="2">
                  <c:v>w/o TTA</c:v>
                </c:pt>
                <c:pt idx="3">
                  <c:v>w/o 层次化</c:v>
                </c:pt>
                <c:pt idx="4">
                  <c:v>w/o 深层分类头</c:v>
                </c:pt>
                <c:pt idx="5">
                  <c:v>w/o Mixup</c:v>
                </c:pt>
                <c:pt idx="6">
                  <c:v>w/o 类别权重</c:v>
                </c:pt>
                <c:pt idx="7">
                  <c:v>基线 (仅LoRA)</c:v>
                </c:pt>
              </c:strCache>
            </c:strRef>
          </c:cat>
          <c:val>
            <c:numRef>
              <c:f>'图4-消融实验'!$B$2:$B$9</c:f>
              <c:numCache>
                <c:formatCode>General</c:formatCode>
                <c:ptCount val="8"/>
                <c:pt idx="0">
                  <c:v>88.36</c:v>
                </c:pt>
                <c:pt idx="1">
                  <c:v>86.51</c:v>
                </c:pt>
                <c:pt idx="2">
                  <c:v>86.21</c:v>
                </c:pt>
                <c:pt idx="3">
                  <c:v>84.73</c:v>
                </c:pt>
                <c:pt idx="4">
                  <c:v>85.71</c:v>
                </c:pt>
                <c:pt idx="5">
                  <c:v>86.75</c:v>
                </c:pt>
                <c:pt idx="6">
                  <c:v>85.22</c:v>
                </c:pt>
                <c:pt idx="7">
                  <c:v>84.73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AA-476A-B192-4AD1BE843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92"/>
          <c:min val="8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准确率 </a:t>
                </a:r>
                <a:r>
                  <a:rPr lang="en-US" altLang="zh-CN"/>
                  <a:t>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不同</a:t>
            </a:r>
            <a:r>
              <a:rPr lang="en-US"/>
              <a:t>TTA</a:t>
            </a:r>
            <a:r>
              <a:rPr lang="zh-CN" altLang="en-US"/>
              <a:t>级别与聚合策略准确率对比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'图5-TTA分析'!$B$2</c:f>
              <c:strCache>
                <c:ptCount val="1"/>
                <c:pt idx="0">
                  <c:v>均值融合(%)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'图5-TTA分析'!$A$3:$A$6</c:f>
              <c:strCache>
                <c:ptCount val="4"/>
                <c:pt idx="0">
                  <c:v>无TTA</c:v>
                </c:pt>
                <c:pt idx="1">
                  <c:v>基础级 (2x)</c:v>
                </c:pt>
                <c:pt idx="2">
                  <c:v>中等级 (5x)</c:v>
                </c:pt>
                <c:pt idx="3">
                  <c:v>强增强级(10x)</c:v>
                </c:pt>
              </c:strCache>
            </c:strRef>
          </c:cat>
          <c:val>
            <c:numRef>
              <c:f>'图5-TTA分析'!$B$3:$B$6</c:f>
              <c:numCache>
                <c:formatCode>General</c:formatCode>
                <c:ptCount val="4"/>
                <c:pt idx="0">
                  <c:v>74.760000000000005</c:v>
                </c:pt>
                <c:pt idx="1">
                  <c:v>75.42</c:v>
                </c:pt>
                <c:pt idx="2">
                  <c:v>76.52</c:v>
                </c:pt>
                <c:pt idx="3">
                  <c:v>77.349999999999994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B-41AB-AB7C-73A33BA7A8CA}"/>
            </c:ext>
          </c:extLst>
        </c:ser>
        <c:ser>
          <c:idx val="1"/>
          <c:order val="1"/>
          <c:tx>
            <c:strRef>
              <c:f>'图5-TTA分析'!$C$2</c:f>
              <c:strCache>
                <c:ptCount val="1"/>
                <c:pt idx="0">
                  <c:v>最大值融合(%)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'图5-TTA分析'!$A$3:$A$6</c:f>
              <c:strCache>
                <c:ptCount val="4"/>
                <c:pt idx="0">
                  <c:v>无TTA</c:v>
                </c:pt>
                <c:pt idx="1">
                  <c:v>基础级 (2x)</c:v>
                </c:pt>
                <c:pt idx="2">
                  <c:v>中等级 (5x)</c:v>
                </c:pt>
                <c:pt idx="3">
                  <c:v>强增强级(10x)</c:v>
                </c:pt>
              </c:strCache>
            </c:strRef>
          </c:cat>
          <c:val>
            <c:numRef>
              <c:f>'图5-TTA分析'!$C$3:$C$6</c:f>
              <c:numCache>
                <c:formatCode>General</c:formatCode>
                <c:ptCount val="4"/>
                <c:pt idx="0">
                  <c:v>74.760000000000005</c:v>
                </c:pt>
                <c:pt idx="1">
                  <c:v>75.05</c:v>
                </c:pt>
                <c:pt idx="2">
                  <c:v>75.95</c:v>
                </c:pt>
                <c:pt idx="3">
                  <c:v>76.62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B-41AB-AB7C-73A33BA7A8CA}"/>
            </c:ext>
          </c:extLst>
        </c:ser>
        <c:ser>
          <c:idx val="2"/>
          <c:order val="2"/>
          <c:tx>
            <c:strRef>
              <c:f>'图5-TTA分析'!$D$2</c:f>
              <c:strCache>
                <c:ptCount val="1"/>
                <c:pt idx="0">
                  <c:v>加权融合(%)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'图5-TTA分析'!$A$3:$A$6</c:f>
              <c:strCache>
                <c:ptCount val="4"/>
                <c:pt idx="0">
                  <c:v>无TTA</c:v>
                </c:pt>
                <c:pt idx="1">
                  <c:v>基础级 (2x)</c:v>
                </c:pt>
                <c:pt idx="2">
                  <c:v>中等级 (5x)</c:v>
                </c:pt>
                <c:pt idx="3">
                  <c:v>强增强级(10x)</c:v>
                </c:pt>
              </c:strCache>
            </c:strRef>
          </c:cat>
          <c:val>
            <c:numRef>
              <c:f>'图5-TTA分析'!$D$3:$D$6</c:f>
              <c:numCache>
                <c:formatCode>General</c:formatCode>
                <c:ptCount val="4"/>
                <c:pt idx="0">
                  <c:v>74.760000000000005</c:v>
                </c:pt>
                <c:pt idx="1">
                  <c:v>75.88</c:v>
                </c:pt>
                <c:pt idx="2">
                  <c:v>77.040000000000006</c:v>
                </c:pt>
                <c:pt idx="3">
                  <c:v>78.39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0B-41AB-AB7C-73A33BA7A8CA}"/>
            </c:ext>
          </c:extLst>
        </c:ser>
        <c:ser>
          <c:idx val="3"/>
          <c:order val="3"/>
          <c:tx>
            <c:strRef>
              <c:f>'图5-TTA分析'!$E$2</c:f>
              <c:strCache>
                <c:ptCount val="1"/>
                <c:pt idx="0">
                  <c:v>投票融合(%)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'图5-TTA分析'!$A$3:$A$6</c:f>
              <c:strCache>
                <c:ptCount val="4"/>
                <c:pt idx="0">
                  <c:v>无TTA</c:v>
                </c:pt>
                <c:pt idx="1">
                  <c:v>基础级 (2x)</c:v>
                </c:pt>
                <c:pt idx="2">
                  <c:v>中等级 (5x)</c:v>
                </c:pt>
                <c:pt idx="3">
                  <c:v>强增强级(10x)</c:v>
                </c:pt>
              </c:strCache>
            </c:strRef>
          </c:cat>
          <c:val>
            <c:numRef>
              <c:f>'图5-TTA分析'!$E$3:$E$6</c:f>
              <c:numCache>
                <c:formatCode>General</c:formatCode>
                <c:ptCount val="4"/>
                <c:pt idx="0">
                  <c:v>74.760000000000005</c:v>
                </c:pt>
                <c:pt idx="1">
                  <c:v>75.349999999999994</c:v>
                </c:pt>
                <c:pt idx="2">
                  <c:v>76.41</c:v>
                </c:pt>
                <c:pt idx="3">
                  <c:v>77.55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0B-41AB-AB7C-73A33BA7A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90"/>
          <c:min val="83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准确率 </a:t>
                </a:r>
                <a:r>
                  <a:rPr lang="en-US" altLang="zh-CN"/>
                  <a:t>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TTA</a:t>
            </a:r>
            <a:r>
              <a:rPr lang="zh-CN" altLang="en-US"/>
              <a:t>对难分类别的准确率提升</a:t>
            </a:r>
          </a:p>
        </c:rich>
      </c:tx>
      <c:layout>
        <c:manualLayout>
          <c:xMode val="edge"/>
          <c:yMode val="edge"/>
          <c:x val="0.40269212962962964"/>
          <c:y val="1.175925925925925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2337962962962964E-2"/>
          <c:y val="4.1157407407407406E-2"/>
          <c:w val="0.96766203703703701"/>
          <c:h val="0.9353240740740740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'图5-TTA分析'!$B$27</c:f>
              <c:strCache>
                <c:ptCount val="1"/>
                <c:pt idx="0">
                  <c:v>无TTA(%)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'图5-TTA分析'!$A$28:$A$34</c:f>
              <c:strCache>
                <c:ptCount val="7"/>
                <c:pt idx="0">
                  <c:v>玉米-灌浆</c:v>
                </c:pt>
                <c:pt idx="1">
                  <c:v>玉米-拔节</c:v>
                </c:pt>
                <c:pt idx="2">
                  <c:v>小麦-拔节</c:v>
                </c:pt>
                <c:pt idx="3">
                  <c:v>小麦-分蘖</c:v>
                </c:pt>
                <c:pt idx="4">
                  <c:v>棉花-花铃</c:v>
                </c:pt>
                <c:pt idx="5">
                  <c:v>棉花-开花</c:v>
                </c:pt>
                <c:pt idx="6">
                  <c:v>棉花-现蕾</c:v>
                </c:pt>
              </c:strCache>
            </c:strRef>
          </c:cat>
          <c:val>
            <c:numRef>
              <c:f>'图5-TTA分析'!$B$28:$B$34</c:f>
              <c:numCache>
                <c:formatCode>General</c:formatCode>
                <c:ptCount val="7"/>
                <c:pt idx="0">
                  <c:v>76.540000000000006</c:v>
                </c:pt>
                <c:pt idx="1">
                  <c:v>48.25</c:v>
                </c:pt>
                <c:pt idx="2">
                  <c:v>55.4</c:v>
                </c:pt>
                <c:pt idx="3">
                  <c:v>38.119999999999997</c:v>
                </c:pt>
                <c:pt idx="4">
                  <c:v>80.2</c:v>
                </c:pt>
                <c:pt idx="5">
                  <c:v>76.45</c:v>
                </c:pt>
                <c:pt idx="6">
                  <c:v>76.150000000000006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9-448D-BAE2-096CA83301C0}"/>
            </c:ext>
          </c:extLst>
        </c:ser>
        <c:ser>
          <c:idx val="1"/>
          <c:order val="1"/>
          <c:tx>
            <c:strRef>
              <c:f>'图5-TTA分析'!$C$27</c:f>
              <c:strCache>
                <c:ptCount val="1"/>
                <c:pt idx="0">
                  <c:v>强增强级 TTA(%)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'图5-TTA分析'!$A$28:$A$34</c:f>
              <c:strCache>
                <c:ptCount val="7"/>
                <c:pt idx="0">
                  <c:v>玉米-灌浆</c:v>
                </c:pt>
                <c:pt idx="1">
                  <c:v>玉米-拔节</c:v>
                </c:pt>
                <c:pt idx="2">
                  <c:v>小麦-拔节</c:v>
                </c:pt>
                <c:pt idx="3">
                  <c:v>小麦-分蘖</c:v>
                </c:pt>
                <c:pt idx="4">
                  <c:v>棉花-花铃</c:v>
                </c:pt>
                <c:pt idx="5">
                  <c:v>棉花-开花</c:v>
                </c:pt>
                <c:pt idx="6">
                  <c:v>棉花-现蕾</c:v>
                </c:pt>
              </c:strCache>
            </c:strRef>
          </c:cat>
          <c:val>
            <c:numRef>
              <c:f>'图5-TTA分析'!$C$28:$C$34</c:f>
              <c:numCache>
                <c:formatCode>General</c:formatCode>
                <c:ptCount val="7"/>
                <c:pt idx="0">
                  <c:v>81.72</c:v>
                </c:pt>
                <c:pt idx="1">
                  <c:v>53.56</c:v>
                </c:pt>
                <c:pt idx="2">
                  <c:v>61.56</c:v>
                </c:pt>
                <c:pt idx="3">
                  <c:v>42.84</c:v>
                </c:pt>
                <c:pt idx="4">
                  <c:v>83.31</c:v>
                </c:pt>
                <c:pt idx="5">
                  <c:v>80.180000000000007</c:v>
                </c:pt>
                <c:pt idx="6">
                  <c:v>79.290000000000006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D9-448D-BAE2-096CA8330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2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准确率 </a:t>
                </a:r>
                <a:r>
                  <a:rPr lang="en-US" altLang="zh-CN"/>
                  <a:t>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'图5-TTA分析'!$A$3</c:f>
              <c:strCache>
                <c:ptCount val="1"/>
                <c:pt idx="0">
                  <c:v>无TTA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'图5-TTA分析'!$B$2:$E$2</c:f>
              <c:strCache>
                <c:ptCount val="4"/>
                <c:pt idx="0">
                  <c:v>均值融合(%)</c:v>
                </c:pt>
                <c:pt idx="1">
                  <c:v>最大值融合(%)</c:v>
                </c:pt>
                <c:pt idx="2">
                  <c:v>加权融合(%)</c:v>
                </c:pt>
                <c:pt idx="3">
                  <c:v>投票融合(%)</c:v>
                </c:pt>
              </c:strCache>
            </c:strRef>
          </c:cat>
          <c:val>
            <c:numRef>
              <c:f>'图5-TTA分析'!$B$3:$E$3</c:f>
              <c:numCache>
                <c:formatCode>General</c:formatCode>
                <c:ptCount val="4"/>
                <c:pt idx="0">
                  <c:v>74.760000000000005</c:v>
                </c:pt>
                <c:pt idx="1">
                  <c:v>74.760000000000005</c:v>
                </c:pt>
                <c:pt idx="2">
                  <c:v>74.760000000000005</c:v>
                </c:pt>
                <c:pt idx="3">
                  <c:v>74.760000000000005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39-406D-A751-D813333A3B37}"/>
            </c:ext>
          </c:extLst>
        </c:ser>
        <c:ser>
          <c:idx val="1"/>
          <c:order val="1"/>
          <c:tx>
            <c:strRef>
              <c:f>'图5-TTA分析'!$A$4</c:f>
              <c:strCache>
                <c:ptCount val="1"/>
                <c:pt idx="0">
                  <c:v>基础级 (2x)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'图5-TTA分析'!$B$2:$E$2</c:f>
              <c:strCache>
                <c:ptCount val="4"/>
                <c:pt idx="0">
                  <c:v>均值融合(%)</c:v>
                </c:pt>
                <c:pt idx="1">
                  <c:v>最大值融合(%)</c:v>
                </c:pt>
                <c:pt idx="2">
                  <c:v>加权融合(%)</c:v>
                </c:pt>
                <c:pt idx="3">
                  <c:v>投票融合(%)</c:v>
                </c:pt>
              </c:strCache>
            </c:strRef>
          </c:cat>
          <c:val>
            <c:numRef>
              <c:f>'图5-TTA分析'!$B$4:$E$4</c:f>
              <c:numCache>
                <c:formatCode>General</c:formatCode>
                <c:ptCount val="4"/>
                <c:pt idx="0">
                  <c:v>75.42</c:v>
                </c:pt>
                <c:pt idx="1">
                  <c:v>75.05</c:v>
                </c:pt>
                <c:pt idx="2">
                  <c:v>75.88</c:v>
                </c:pt>
                <c:pt idx="3">
                  <c:v>75.349999999999994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39-406D-A751-D813333A3B37}"/>
            </c:ext>
          </c:extLst>
        </c:ser>
        <c:ser>
          <c:idx val="2"/>
          <c:order val="2"/>
          <c:tx>
            <c:strRef>
              <c:f>'图5-TTA分析'!$A$5</c:f>
              <c:strCache>
                <c:ptCount val="1"/>
                <c:pt idx="0">
                  <c:v>中等级 (5x)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'图5-TTA分析'!$B$2:$E$2</c:f>
              <c:strCache>
                <c:ptCount val="4"/>
                <c:pt idx="0">
                  <c:v>均值融合(%)</c:v>
                </c:pt>
                <c:pt idx="1">
                  <c:v>最大值融合(%)</c:v>
                </c:pt>
                <c:pt idx="2">
                  <c:v>加权融合(%)</c:v>
                </c:pt>
                <c:pt idx="3">
                  <c:v>投票融合(%)</c:v>
                </c:pt>
              </c:strCache>
            </c:strRef>
          </c:cat>
          <c:val>
            <c:numRef>
              <c:f>'图5-TTA分析'!$B$5:$E$5</c:f>
              <c:numCache>
                <c:formatCode>General</c:formatCode>
                <c:ptCount val="4"/>
                <c:pt idx="0">
                  <c:v>76.52</c:v>
                </c:pt>
                <c:pt idx="1">
                  <c:v>75.95</c:v>
                </c:pt>
                <c:pt idx="2">
                  <c:v>77.040000000000006</c:v>
                </c:pt>
                <c:pt idx="3">
                  <c:v>76.41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39-406D-A751-D813333A3B37}"/>
            </c:ext>
          </c:extLst>
        </c:ser>
        <c:ser>
          <c:idx val="3"/>
          <c:order val="3"/>
          <c:tx>
            <c:strRef>
              <c:f>'图5-TTA分析'!$A$6</c:f>
              <c:strCache>
                <c:ptCount val="1"/>
                <c:pt idx="0">
                  <c:v>强增强级(10x)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'图5-TTA分析'!$B$2:$E$2</c:f>
              <c:strCache>
                <c:ptCount val="4"/>
                <c:pt idx="0">
                  <c:v>均值融合(%)</c:v>
                </c:pt>
                <c:pt idx="1">
                  <c:v>最大值融合(%)</c:v>
                </c:pt>
                <c:pt idx="2">
                  <c:v>加权融合(%)</c:v>
                </c:pt>
                <c:pt idx="3">
                  <c:v>投票融合(%)</c:v>
                </c:pt>
              </c:strCache>
            </c:strRef>
          </c:cat>
          <c:val>
            <c:numRef>
              <c:f>'图5-TTA分析'!$B$6:$E$6</c:f>
              <c:numCache>
                <c:formatCode>General</c:formatCode>
                <c:ptCount val="4"/>
                <c:pt idx="0">
                  <c:v>77.349999999999994</c:v>
                </c:pt>
                <c:pt idx="1">
                  <c:v>76.62</c:v>
                </c:pt>
                <c:pt idx="2">
                  <c:v>78.39</c:v>
                </c:pt>
                <c:pt idx="3">
                  <c:v>77.55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39-406D-A751-D813333A3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539440"/>
        <c:axId val="1784905312"/>
      </c:lineChart>
      <c:catAx>
        <c:axId val="178453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84905312"/>
        <c:crosses val="autoZero"/>
        <c:auto val="1"/>
        <c:lblAlgn val="ctr"/>
        <c:lblOffset val="100"/>
        <c:noMultiLvlLbl val="0"/>
      </c:catAx>
      <c:valAx>
        <c:axId val="178490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8453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50"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TTA</a:t>
            </a:r>
            <a:r>
              <a:rPr lang="zh-CN"/>
              <a:t>对难分类别的准确率提升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'图5-TTA分析'!$B$27</c:f>
              <c:strCache>
                <c:ptCount val="1"/>
                <c:pt idx="0">
                  <c:v>无TTA(%)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'图5-TTA分析'!$A$28:$A$34</c:f>
              <c:strCache>
                <c:ptCount val="7"/>
                <c:pt idx="0">
                  <c:v>玉米-灌浆</c:v>
                </c:pt>
                <c:pt idx="1">
                  <c:v>玉米-拔节</c:v>
                </c:pt>
                <c:pt idx="2">
                  <c:v>小麦-拔节</c:v>
                </c:pt>
                <c:pt idx="3">
                  <c:v>小麦-分蘖</c:v>
                </c:pt>
                <c:pt idx="4">
                  <c:v>棉花-花铃</c:v>
                </c:pt>
                <c:pt idx="5">
                  <c:v>棉花-开花</c:v>
                </c:pt>
                <c:pt idx="6">
                  <c:v>棉花-现蕾</c:v>
                </c:pt>
              </c:strCache>
            </c:strRef>
          </c:cat>
          <c:val>
            <c:numRef>
              <c:f>'图5-TTA分析'!$B$28:$B$34</c:f>
              <c:numCache>
                <c:formatCode>General</c:formatCode>
                <c:ptCount val="7"/>
                <c:pt idx="0">
                  <c:v>76.540000000000006</c:v>
                </c:pt>
                <c:pt idx="1">
                  <c:v>48.25</c:v>
                </c:pt>
                <c:pt idx="2">
                  <c:v>55.4</c:v>
                </c:pt>
                <c:pt idx="3">
                  <c:v>38.119999999999997</c:v>
                </c:pt>
                <c:pt idx="4">
                  <c:v>80.2</c:v>
                </c:pt>
                <c:pt idx="5">
                  <c:v>76.45</c:v>
                </c:pt>
                <c:pt idx="6">
                  <c:v>76.150000000000006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9-431F-A9D1-C1C6A6DA81A4}"/>
            </c:ext>
          </c:extLst>
        </c:ser>
        <c:ser>
          <c:idx val="1"/>
          <c:order val="1"/>
          <c:tx>
            <c:strRef>
              <c:f>'图5-TTA分析'!$C$27</c:f>
              <c:strCache>
                <c:ptCount val="1"/>
                <c:pt idx="0">
                  <c:v>强增强级 TTA(%)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'图5-TTA分析'!$A$28:$A$34</c:f>
              <c:strCache>
                <c:ptCount val="7"/>
                <c:pt idx="0">
                  <c:v>玉米-灌浆</c:v>
                </c:pt>
                <c:pt idx="1">
                  <c:v>玉米-拔节</c:v>
                </c:pt>
                <c:pt idx="2">
                  <c:v>小麦-拔节</c:v>
                </c:pt>
                <c:pt idx="3">
                  <c:v>小麦-分蘖</c:v>
                </c:pt>
                <c:pt idx="4">
                  <c:v>棉花-花铃</c:v>
                </c:pt>
                <c:pt idx="5">
                  <c:v>棉花-开花</c:v>
                </c:pt>
                <c:pt idx="6">
                  <c:v>棉花-现蕾</c:v>
                </c:pt>
              </c:strCache>
            </c:strRef>
          </c:cat>
          <c:val>
            <c:numRef>
              <c:f>'图5-TTA分析'!$C$28:$C$34</c:f>
              <c:numCache>
                <c:formatCode>General</c:formatCode>
                <c:ptCount val="7"/>
                <c:pt idx="0">
                  <c:v>81.72</c:v>
                </c:pt>
                <c:pt idx="1">
                  <c:v>53.56</c:v>
                </c:pt>
                <c:pt idx="2">
                  <c:v>61.56</c:v>
                </c:pt>
                <c:pt idx="3">
                  <c:v>42.84</c:v>
                </c:pt>
                <c:pt idx="4">
                  <c:v>83.31</c:v>
                </c:pt>
                <c:pt idx="5">
                  <c:v>80.180000000000007</c:v>
                </c:pt>
                <c:pt idx="6">
                  <c:v>79.290000000000006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39-431F-A9D1-C1C6A6DA81A4}"/>
            </c:ext>
          </c:extLst>
        </c:ser>
        <c:ser>
          <c:idx val="2"/>
          <c:order val="2"/>
          <c:tx>
            <c:strRef>
              <c:f>'图5-TTA分析'!$D$27</c:f>
              <c:strCache>
                <c:ptCount val="1"/>
                <c:pt idx="0">
                  <c:v>提升(%)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'图5-TTA分析'!$A$28:$A$34</c:f>
              <c:strCache>
                <c:ptCount val="7"/>
                <c:pt idx="0">
                  <c:v>玉米-灌浆</c:v>
                </c:pt>
                <c:pt idx="1">
                  <c:v>玉米-拔节</c:v>
                </c:pt>
                <c:pt idx="2">
                  <c:v>小麦-拔节</c:v>
                </c:pt>
                <c:pt idx="3">
                  <c:v>小麦-分蘖</c:v>
                </c:pt>
                <c:pt idx="4">
                  <c:v>棉花-花铃</c:v>
                </c:pt>
                <c:pt idx="5">
                  <c:v>棉花-开花</c:v>
                </c:pt>
                <c:pt idx="6">
                  <c:v>棉花-现蕾</c:v>
                </c:pt>
              </c:strCache>
            </c:strRef>
          </c:cat>
          <c:val>
            <c:numRef>
              <c:f>'图5-TTA分析'!$D$28:$D$34</c:f>
              <c:numCache>
                <c:formatCode>General</c:formatCode>
                <c:ptCount val="7"/>
                <c:pt idx="0">
                  <c:v>5.18</c:v>
                </c:pt>
                <c:pt idx="1">
                  <c:v>5.31</c:v>
                </c:pt>
                <c:pt idx="2">
                  <c:v>6.16</c:v>
                </c:pt>
                <c:pt idx="3">
                  <c:v>4.72</c:v>
                </c:pt>
                <c:pt idx="4">
                  <c:v>3.11</c:v>
                </c:pt>
                <c:pt idx="5">
                  <c:v>3.73</c:v>
                </c:pt>
                <c:pt idx="6">
                  <c:v>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39-431F-A9D1-C1C6A6DA81A4}"/>
            </c:ext>
          </c:extLst>
        </c:ser>
        <c:ser>
          <c:idx val="3"/>
          <c:order val="3"/>
          <c:tx>
            <c:strRef>
              <c:f>'图5-TTA分析'!$E$27</c:f>
              <c:strCache>
                <c:ptCount val="1"/>
                <c:pt idx="0">
                  <c:v>测试样本数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'图5-TTA分析'!$A$28:$A$34</c:f>
              <c:strCache>
                <c:ptCount val="7"/>
                <c:pt idx="0">
                  <c:v>玉米-灌浆</c:v>
                </c:pt>
                <c:pt idx="1">
                  <c:v>玉米-拔节</c:v>
                </c:pt>
                <c:pt idx="2">
                  <c:v>小麦-拔节</c:v>
                </c:pt>
                <c:pt idx="3">
                  <c:v>小麦-分蘖</c:v>
                </c:pt>
                <c:pt idx="4">
                  <c:v>棉花-花铃</c:v>
                </c:pt>
                <c:pt idx="5">
                  <c:v>棉花-开花</c:v>
                </c:pt>
                <c:pt idx="6">
                  <c:v>棉花-现蕾</c:v>
                </c:pt>
              </c:strCache>
            </c:strRef>
          </c:cat>
          <c:val>
            <c:numRef>
              <c:f>'图5-TTA分析'!$E$28:$E$34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7</c:v>
                </c:pt>
                <c:pt idx="4">
                  <c:v>29</c:v>
                </c:pt>
                <c:pt idx="5">
                  <c:v>30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39-431F-A9D1-C1C6A6DA8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785488"/>
        <c:axId val="1992773840"/>
      </c:barChart>
      <c:catAx>
        <c:axId val="199278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92773840"/>
        <c:crosses val="autoZero"/>
        <c:auto val="1"/>
        <c:lblAlgn val="ctr"/>
        <c:lblOffset val="100"/>
        <c:noMultiLvlLbl val="0"/>
      </c:catAx>
      <c:valAx>
        <c:axId val="199277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9278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50"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LoRA Rank vs </a:t>
            </a:r>
            <a:r>
              <a:rPr lang="zh-CN" altLang="en-US"/>
              <a:t>准确率与参数效率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'图6-参数效率'!$E$2</c:f>
              <c:strCache>
                <c:ptCount val="1"/>
                <c:pt idx="0">
                  <c:v>准确率(%)</c:v>
                </c:pt>
              </c:strCache>
            </c:strRef>
          </c:tx>
          <c:spPr>
            <a:ln w="28000">
              <a:prstDash val="solid"/>
            </a:ln>
          </c:spPr>
          <c:marker>
            <c:symbol val="none"/>
          </c:marker>
          <c:cat>
            <c:numRef>
              <c:f>'图6-参数效率'!$A$3:$A$7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cat>
          <c:val>
            <c:numRef>
              <c:f>'图6-参数效率'!$E$3:$E$7</c:f>
              <c:numCache>
                <c:formatCode>General</c:formatCode>
                <c:ptCount val="5"/>
                <c:pt idx="0">
                  <c:v>79.23</c:v>
                </c:pt>
                <c:pt idx="1">
                  <c:v>84.15</c:v>
                </c:pt>
                <c:pt idx="2">
                  <c:v>84.15</c:v>
                </c:pt>
                <c:pt idx="3">
                  <c:v>82.41</c:v>
                </c:pt>
                <c:pt idx="4">
                  <c:v>80.19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54-4A70-8B4D-526FA8687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LoRA Rank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准确率 </a:t>
                </a:r>
                <a:r>
                  <a:rPr lang="en-US" altLang="zh-CN"/>
                  <a:t>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不同骨干网络准确率对比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'图6-参数效率'!$E$28</c:f>
              <c:strCache>
                <c:ptCount val="1"/>
                <c:pt idx="0">
                  <c:v>准确率(%)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'图6-参数效率'!$A$29:$A$32</c:f>
              <c:strCache>
                <c:ptCount val="4"/>
                <c:pt idx="0">
                  <c:v>ViT-B/32</c:v>
                </c:pt>
                <c:pt idx="1">
                  <c:v>ViT-B/16</c:v>
                </c:pt>
                <c:pt idx="2">
                  <c:v>ViT-L/14</c:v>
                </c:pt>
                <c:pt idx="3">
                  <c:v>ViT-L/14@336</c:v>
                </c:pt>
              </c:strCache>
            </c:strRef>
          </c:cat>
          <c:val>
            <c:numRef>
              <c:f>'图6-参数效率'!$E$29:$E$32</c:f>
              <c:numCache>
                <c:formatCode>General</c:formatCode>
                <c:ptCount val="4"/>
                <c:pt idx="0">
                  <c:v>68.47</c:v>
                </c:pt>
                <c:pt idx="1">
                  <c:v>73.86</c:v>
                </c:pt>
                <c:pt idx="2">
                  <c:v>81.77</c:v>
                </c:pt>
                <c:pt idx="3">
                  <c:v>84.15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E-49E6-BA2F-2102742C4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90"/>
          <c:min val="6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准确率 </a:t>
                </a:r>
                <a:r>
                  <a:rPr lang="en-US" altLang="zh-CN"/>
                  <a:t>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'图6-参数效率'!$A$2</c:f>
              <c:strCache>
                <c:ptCount val="1"/>
                <c:pt idx="0">
                  <c:v>LoRA Rank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'图6-参数效率'!$A$3:$A$7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2-4F91-812F-CC6D523E9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609488"/>
        <c:axId val="1961612400"/>
      </c:barChart>
      <c:lineChart>
        <c:grouping val="standard"/>
        <c:varyColors val="0"/>
        <c:ser>
          <c:idx val="1"/>
          <c:order val="1"/>
          <c:tx>
            <c:strRef>
              <c:f>'图6-参数效率'!$E$2</c:f>
              <c:strCache>
                <c:ptCount val="1"/>
                <c:pt idx="0">
                  <c:v>准确率(%)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'图6-参数效率'!$E$3:$E$7</c:f>
              <c:numCache>
                <c:formatCode>General</c:formatCode>
                <c:ptCount val="5"/>
                <c:pt idx="0">
                  <c:v>79.23</c:v>
                </c:pt>
                <c:pt idx="1">
                  <c:v>84.15</c:v>
                </c:pt>
                <c:pt idx="2">
                  <c:v>84.15</c:v>
                </c:pt>
                <c:pt idx="3">
                  <c:v>82.41</c:v>
                </c:pt>
                <c:pt idx="4">
                  <c:v>80.19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A2-4F91-812F-CC6D523E9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1609488"/>
        <c:axId val="1961612400"/>
      </c:lineChart>
      <c:lineChart>
        <c:grouping val="standard"/>
        <c:varyColors val="0"/>
        <c:ser>
          <c:idx val="2"/>
          <c:order val="2"/>
          <c:tx>
            <c:strRef>
              <c:f>'图6-参数效率'!$F$2</c:f>
              <c:strCache>
                <c:ptCount val="1"/>
                <c:pt idx="0">
                  <c:v>训练轮数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'图6-参数效率'!$F$3:$F$7</c:f>
              <c:numCache>
                <c:formatCode>General</c:formatCode>
                <c:ptCount val="5"/>
                <c:pt idx="0">
                  <c:v>28</c:v>
                </c:pt>
                <c:pt idx="1">
                  <c:v>36</c:v>
                </c:pt>
                <c:pt idx="2">
                  <c:v>50</c:v>
                </c:pt>
                <c:pt idx="3">
                  <c:v>50</c:v>
                </c:pt>
                <c:pt idx="4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A2-4F91-812F-CC6D523E9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1611984"/>
        <c:axId val="1961612816"/>
      </c:lineChart>
      <c:catAx>
        <c:axId val="1961609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LoRA </a:t>
                </a:r>
                <a:r>
                  <a:rPr lang="zh-CN"/>
                  <a:t>秩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61612400"/>
        <c:crosses val="autoZero"/>
        <c:auto val="1"/>
        <c:lblAlgn val="ctr"/>
        <c:lblOffset val="100"/>
        <c:noMultiLvlLbl val="0"/>
      </c:catAx>
      <c:valAx>
        <c:axId val="196161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/>
                  <a:t>识别准确率 </a:t>
                </a:r>
                <a:r>
                  <a:rPr lang="en-US"/>
                  <a:t>/ %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61609488"/>
        <c:crosses val="autoZero"/>
        <c:crossBetween val="between"/>
      </c:valAx>
      <c:valAx>
        <c:axId val="19616128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/>
                  <a:t>收敛轮数 </a:t>
                </a:r>
                <a:r>
                  <a:rPr lang="en-US"/>
                  <a:t>/ </a:t>
                </a:r>
                <a:r>
                  <a:rPr lang="zh-CN"/>
                  <a:t>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61611984"/>
        <c:crosses val="max"/>
        <c:crossBetween val="between"/>
      </c:valAx>
      <c:catAx>
        <c:axId val="1961611984"/>
        <c:scaling>
          <c:orientation val="minMax"/>
        </c:scaling>
        <c:delete val="1"/>
        <c:axPos val="b"/>
        <c:majorTickMark val="out"/>
        <c:minorTickMark val="none"/>
        <c:tickLblPos val="nextTo"/>
        <c:crossAx val="1961612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训练与验证损失曲线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'图7-训练曲线'!$B$1</c:f>
              <c:strCache>
                <c:ptCount val="1"/>
                <c:pt idx="0">
                  <c:v>训练损失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'图7-训练曲线'!$A$2:$A$51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'图7-训练曲线'!$B$2:$B$51</c:f>
              <c:numCache>
                <c:formatCode>General</c:formatCode>
                <c:ptCount val="50"/>
                <c:pt idx="0">
                  <c:v>2.5044</c:v>
                </c:pt>
                <c:pt idx="1">
                  <c:v>2.3873000000000002</c:v>
                </c:pt>
                <c:pt idx="2">
                  <c:v>2.2181999999999999</c:v>
                </c:pt>
                <c:pt idx="3">
                  <c:v>2.1166</c:v>
                </c:pt>
                <c:pt idx="4">
                  <c:v>2.0219999999999998</c:v>
                </c:pt>
                <c:pt idx="5">
                  <c:v>1.8742000000000001</c:v>
                </c:pt>
                <c:pt idx="6">
                  <c:v>1.7926</c:v>
                </c:pt>
                <c:pt idx="7">
                  <c:v>1.7170000000000001</c:v>
                </c:pt>
                <c:pt idx="8">
                  <c:v>1.5869</c:v>
                </c:pt>
                <c:pt idx="9">
                  <c:v>1.522</c:v>
                </c:pt>
                <c:pt idx="10">
                  <c:v>1.4621</c:v>
                </c:pt>
                <c:pt idx="11">
                  <c:v>1.3469</c:v>
                </c:pt>
                <c:pt idx="12">
                  <c:v>1.296</c:v>
                </c:pt>
                <c:pt idx="13">
                  <c:v>1.2493000000000001</c:v>
                </c:pt>
                <c:pt idx="14">
                  <c:v>1.1464000000000001</c:v>
                </c:pt>
                <c:pt idx="15">
                  <c:v>1.1072</c:v>
                </c:pt>
                <c:pt idx="16">
                  <c:v>1.0714999999999999</c:v>
                </c:pt>
                <c:pt idx="17">
                  <c:v>0.97899999999999998</c:v>
                </c:pt>
                <c:pt idx="18">
                  <c:v>0.94950000000000001</c:v>
                </c:pt>
                <c:pt idx="19">
                  <c:v>0.92300000000000004</c:v>
                </c:pt>
                <c:pt idx="20">
                  <c:v>0.83909999999999996</c:v>
                </c:pt>
                <c:pt idx="21">
                  <c:v>0.81779999999999997</c:v>
                </c:pt>
                <c:pt idx="22">
                  <c:v>0.79890000000000005</c:v>
                </c:pt>
                <c:pt idx="23">
                  <c:v>0.72230000000000005</c:v>
                </c:pt>
                <c:pt idx="24">
                  <c:v>0.70779999999999998</c:v>
                </c:pt>
                <c:pt idx="25">
                  <c:v>0.69530000000000003</c:v>
                </c:pt>
                <c:pt idx="26">
                  <c:v>0.62470000000000003</c:v>
                </c:pt>
                <c:pt idx="27">
                  <c:v>0.6159</c:v>
                </c:pt>
                <c:pt idx="28">
                  <c:v>0.60880000000000001</c:v>
                </c:pt>
                <c:pt idx="29">
                  <c:v>0.54320000000000002</c:v>
                </c:pt>
                <c:pt idx="30">
                  <c:v>0.53920000000000001</c:v>
                </c:pt>
                <c:pt idx="31">
                  <c:v>0.53649999999999998</c:v>
                </c:pt>
                <c:pt idx="32">
                  <c:v>0.47520000000000001</c:v>
                </c:pt>
                <c:pt idx="33">
                  <c:v>0.47510000000000002</c:v>
                </c:pt>
                <c:pt idx="34">
                  <c:v>0.47610000000000002</c:v>
                </c:pt>
                <c:pt idx="35">
                  <c:v>0.41830000000000001</c:v>
                </c:pt>
                <c:pt idx="36">
                  <c:v>0.42149999999999999</c:v>
                </c:pt>
                <c:pt idx="37">
                  <c:v>0.42570000000000002</c:v>
                </c:pt>
                <c:pt idx="38">
                  <c:v>0.37080000000000002</c:v>
                </c:pt>
                <c:pt idx="39">
                  <c:v>0.37680000000000002</c:v>
                </c:pt>
                <c:pt idx="40">
                  <c:v>0.3836</c:v>
                </c:pt>
                <c:pt idx="41">
                  <c:v>0.33110000000000001</c:v>
                </c:pt>
                <c:pt idx="42">
                  <c:v>0.33939999999999998</c:v>
                </c:pt>
                <c:pt idx="43">
                  <c:v>0.34839999999999999</c:v>
                </c:pt>
                <c:pt idx="44">
                  <c:v>0.29799999999999999</c:v>
                </c:pt>
                <c:pt idx="45">
                  <c:v>0.30819999999999997</c:v>
                </c:pt>
                <c:pt idx="46">
                  <c:v>0.31900000000000001</c:v>
                </c:pt>
                <c:pt idx="47">
                  <c:v>0.27029999999999998</c:v>
                </c:pt>
                <c:pt idx="48">
                  <c:v>0.28220000000000001</c:v>
                </c:pt>
                <c:pt idx="49">
                  <c:v>0.29449999999999998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927-4B6C-8E69-CD4B4D2B00D4}"/>
            </c:ext>
          </c:extLst>
        </c:ser>
        <c:ser>
          <c:idx val="1"/>
          <c:order val="1"/>
          <c:tx>
            <c:strRef>
              <c:f>'图7-训练曲线'!$C$1</c:f>
              <c:strCache>
                <c:ptCount val="1"/>
                <c:pt idx="0">
                  <c:v>验证损失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'图7-训练曲线'!$A$2:$A$51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'图7-训练曲线'!$C$2:$C$51</c:f>
              <c:numCache>
                <c:formatCode>General</c:formatCode>
                <c:ptCount val="50"/>
                <c:pt idx="0">
                  <c:v>2.4127999999999998</c:v>
                </c:pt>
                <c:pt idx="1">
                  <c:v>2.3561000000000001</c:v>
                </c:pt>
                <c:pt idx="2">
                  <c:v>2.3046000000000002</c:v>
                </c:pt>
                <c:pt idx="3">
                  <c:v>2.0581</c:v>
                </c:pt>
                <c:pt idx="4">
                  <c:v>2.0162</c:v>
                </c:pt>
                <c:pt idx="5">
                  <c:v>1.9789000000000001</c:v>
                </c:pt>
                <c:pt idx="6">
                  <c:v>1.9458</c:v>
                </c:pt>
                <c:pt idx="7">
                  <c:v>1.7166999999999999</c:v>
                </c:pt>
                <c:pt idx="8">
                  <c:v>1.6915</c:v>
                </c:pt>
                <c:pt idx="9">
                  <c:v>1.67</c:v>
                </c:pt>
                <c:pt idx="10">
                  <c:v>1.6519999999999999</c:v>
                </c:pt>
                <c:pt idx="11">
                  <c:v>1.4373</c:v>
                </c:pt>
                <c:pt idx="12">
                  <c:v>1.4257</c:v>
                </c:pt>
                <c:pt idx="13">
                  <c:v>1.4171</c:v>
                </c:pt>
                <c:pt idx="14">
                  <c:v>1.4114</c:v>
                </c:pt>
                <c:pt idx="15">
                  <c:v>1.2084999999999999</c:v>
                </c:pt>
                <c:pt idx="16">
                  <c:v>1.2081</c:v>
                </c:pt>
                <c:pt idx="17">
                  <c:v>1.2101</c:v>
                </c:pt>
                <c:pt idx="18">
                  <c:v>1.2144999999999999</c:v>
                </c:pt>
                <c:pt idx="19">
                  <c:v>1.0210999999999999</c:v>
                </c:pt>
                <c:pt idx="20">
                  <c:v>1.0299</c:v>
                </c:pt>
                <c:pt idx="21">
                  <c:v>1.0406</c:v>
                </c:pt>
                <c:pt idx="22">
                  <c:v>1.0532999999999999</c:v>
                </c:pt>
                <c:pt idx="23">
                  <c:v>0.86770000000000003</c:v>
                </c:pt>
                <c:pt idx="24">
                  <c:v>0.88400000000000001</c:v>
                </c:pt>
                <c:pt idx="25">
                  <c:v>0.90180000000000005</c:v>
                </c:pt>
                <c:pt idx="26">
                  <c:v>0.92130000000000001</c:v>
                </c:pt>
                <c:pt idx="27">
                  <c:v>0.74219999999999997</c:v>
                </c:pt>
                <c:pt idx="28">
                  <c:v>0.76449999999999996</c:v>
                </c:pt>
                <c:pt idx="29">
                  <c:v>0.78820000000000001</c:v>
                </c:pt>
                <c:pt idx="30">
                  <c:v>0.81320000000000003</c:v>
                </c:pt>
                <c:pt idx="31">
                  <c:v>0.63939999999999997</c:v>
                </c:pt>
                <c:pt idx="32">
                  <c:v>0.66669999999999996</c:v>
                </c:pt>
                <c:pt idx="33">
                  <c:v>0.69520000000000004</c:v>
                </c:pt>
                <c:pt idx="34">
                  <c:v>0.72470000000000001</c:v>
                </c:pt>
                <c:pt idx="35">
                  <c:v>0.55520000000000003</c:v>
                </c:pt>
                <c:pt idx="36">
                  <c:v>0.58660000000000001</c:v>
                </c:pt>
                <c:pt idx="37">
                  <c:v>0.61899999999999999</c:v>
                </c:pt>
                <c:pt idx="38">
                  <c:v>0.6522</c:v>
                </c:pt>
                <c:pt idx="39">
                  <c:v>0.48630000000000001</c:v>
                </c:pt>
                <c:pt idx="40">
                  <c:v>0.52110000000000001</c:v>
                </c:pt>
                <c:pt idx="41">
                  <c:v>0.55659999999999998</c:v>
                </c:pt>
                <c:pt idx="42">
                  <c:v>0.59289999999999998</c:v>
                </c:pt>
                <c:pt idx="43">
                  <c:v>0.42980000000000002</c:v>
                </c:pt>
                <c:pt idx="44">
                  <c:v>0.46739999999999998</c:v>
                </c:pt>
                <c:pt idx="45">
                  <c:v>0.50560000000000005</c:v>
                </c:pt>
                <c:pt idx="46">
                  <c:v>0.54430000000000001</c:v>
                </c:pt>
                <c:pt idx="47">
                  <c:v>0.38369999999999999</c:v>
                </c:pt>
                <c:pt idx="48">
                  <c:v>0.42349999999999999</c:v>
                </c:pt>
                <c:pt idx="49">
                  <c:v>0.46379999999999999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927-4B6C-8E69-CD4B4D2B0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训练与验证准确率曲线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'图7-训练曲线'!$D$1</c:f>
              <c:strCache>
                <c:ptCount val="1"/>
                <c:pt idx="0">
                  <c:v>训练准确率(%)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'图7-训练曲线'!$A$2:$A$51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'图7-训练曲线'!$D$2:$D$51</c:f>
              <c:numCache>
                <c:formatCode>General</c:formatCode>
                <c:ptCount val="50"/>
                <c:pt idx="0">
                  <c:v>30.77</c:v>
                </c:pt>
                <c:pt idx="1">
                  <c:v>37.590000000000003</c:v>
                </c:pt>
                <c:pt idx="2">
                  <c:v>39.5</c:v>
                </c:pt>
                <c:pt idx="3">
                  <c:v>45.54</c:v>
                </c:pt>
                <c:pt idx="4">
                  <c:v>51.23</c:v>
                </c:pt>
                <c:pt idx="5">
                  <c:v>52.09</c:v>
                </c:pt>
                <c:pt idx="6">
                  <c:v>57.16</c:v>
                </c:pt>
                <c:pt idx="7">
                  <c:v>61.95</c:v>
                </c:pt>
                <c:pt idx="8">
                  <c:v>61.99</c:v>
                </c:pt>
                <c:pt idx="9">
                  <c:v>66.3</c:v>
                </c:pt>
                <c:pt idx="10">
                  <c:v>70.39</c:v>
                </c:pt>
                <c:pt idx="11">
                  <c:v>69.78</c:v>
                </c:pt>
                <c:pt idx="12">
                  <c:v>73.489999999999995</c:v>
                </c:pt>
                <c:pt idx="13">
                  <c:v>77.03</c:v>
                </c:pt>
                <c:pt idx="14">
                  <c:v>75.91</c:v>
                </c:pt>
                <c:pt idx="15">
                  <c:v>79.150000000000006</c:v>
                </c:pt>
                <c:pt idx="16">
                  <c:v>82.25</c:v>
                </c:pt>
                <c:pt idx="17">
                  <c:v>80.73</c:v>
                </c:pt>
                <c:pt idx="18">
                  <c:v>83.6</c:v>
                </c:pt>
                <c:pt idx="19">
                  <c:v>86.36</c:v>
                </c:pt>
                <c:pt idx="20">
                  <c:v>84.52</c:v>
                </c:pt>
                <c:pt idx="21">
                  <c:v>87.1</c:v>
                </c:pt>
                <c:pt idx="22">
                  <c:v>89.59</c:v>
                </c:pt>
                <c:pt idx="23">
                  <c:v>87.5</c:v>
                </c:pt>
                <c:pt idx="24">
                  <c:v>89.85</c:v>
                </c:pt>
                <c:pt idx="25">
                  <c:v>92.13</c:v>
                </c:pt>
                <c:pt idx="26">
                  <c:v>89.85</c:v>
                </c:pt>
                <c:pt idx="27">
                  <c:v>92.02</c:v>
                </c:pt>
                <c:pt idx="28">
                  <c:v>94.13</c:v>
                </c:pt>
                <c:pt idx="29">
                  <c:v>91.7</c:v>
                </c:pt>
                <c:pt idx="30">
                  <c:v>93.72</c:v>
                </c:pt>
                <c:pt idx="31">
                  <c:v>95.7</c:v>
                </c:pt>
                <c:pt idx="32">
                  <c:v>93.15</c:v>
                </c:pt>
                <c:pt idx="33">
                  <c:v>95.06</c:v>
                </c:pt>
                <c:pt idx="34">
                  <c:v>96.94</c:v>
                </c:pt>
                <c:pt idx="35">
                  <c:v>94.29</c:v>
                </c:pt>
                <c:pt idx="36">
                  <c:v>96.11</c:v>
                </c:pt>
                <c:pt idx="37">
                  <c:v>97.91</c:v>
                </c:pt>
                <c:pt idx="38">
                  <c:v>95.19</c:v>
                </c:pt>
                <c:pt idx="39">
                  <c:v>96.94</c:v>
                </c:pt>
                <c:pt idx="40">
                  <c:v>98.68</c:v>
                </c:pt>
                <c:pt idx="41">
                  <c:v>95.89</c:v>
                </c:pt>
                <c:pt idx="42">
                  <c:v>97.6</c:v>
                </c:pt>
                <c:pt idx="43">
                  <c:v>99.28</c:v>
                </c:pt>
                <c:pt idx="44">
                  <c:v>96.45</c:v>
                </c:pt>
                <c:pt idx="45">
                  <c:v>98.11</c:v>
                </c:pt>
                <c:pt idx="46">
                  <c:v>99.75</c:v>
                </c:pt>
                <c:pt idx="47">
                  <c:v>96.89</c:v>
                </c:pt>
                <c:pt idx="48">
                  <c:v>98.51</c:v>
                </c:pt>
                <c:pt idx="49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B8-4D0F-BADA-567070259019}"/>
            </c:ext>
          </c:extLst>
        </c:ser>
        <c:ser>
          <c:idx val="1"/>
          <c:order val="1"/>
          <c:tx>
            <c:strRef>
              <c:f>'图7-训练曲线'!$E$1</c:f>
              <c:strCache>
                <c:ptCount val="1"/>
                <c:pt idx="0">
                  <c:v>验证准确率(%)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'图7-训练曲线'!$A$2:$A$51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'图7-训练曲线'!$E$2:$E$51</c:f>
              <c:numCache>
                <c:formatCode>General</c:formatCode>
                <c:ptCount val="50"/>
                <c:pt idx="0">
                  <c:v>31.19</c:v>
                </c:pt>
                <c:pt idx="1">
                  <c:v>37.14</c:v>
                </c:pt>
                <c:pt idx="2">
                  <c:v>42.86</c:v>
                </c:pt>
                <c:pt idx="3">
                  <c:v>40.36</c:v>
                </c:pt>
                <c:pt idx="4">
                  <c:v>45.66</c:v>
                </c:pt>
                <c:pt idx="5">
                  <c:v>50.77</c:v>
                </c:pt>
                <c:pt idx="6">
                  <c:v>55.69</c:v>
                </c:pt>
                <c:pt idx="7">
                  <c:v>52.45</c:v>
                </c:pt>
                <c:pt idx="8">
                  <c:v>57.04</c:v>
                </c:pt>
                <c:pt idx="9">
                  <c:v>61.49</c:v>
                </c:pt>
                <c:pt idx="10">
                  <c:v>65.790000000000006</c:v>
                </c:pt>
                <c:pt idx="11">
                  <c:v>61.95</c:v>
                </c:pt>
                <c:pt idx="12">
                  <c:v>65.989999999999995</c:v>
                </c:pt>
                <c:pt idx="13">
                  <c:v>69.92</c:v>
                </c:pt>
                <c:pt idx="14">
                  <c:v>73.73</c:v>
                </c:pt>
                <c:pt idx="15">
                  <c:v>69.430000000000007</c:v>
                </c:pt>
                <c:pt idx="16">
                  <c:v>73.040000000000006</c:v>
                </c:pt>
                <c:pt idx="17">
                  <c:v>76.55</c:v>
                </c:pt>
                <c:pt idx="18">
                  <c:v>79.97</c:v>
                </c:pt>
                <c:pt idx="19">
                  <c:v>75.31</c:v>
                </c:pt>
                <c:pt idx="20">
                  <c:v>78.58</c:v>
                </c:pt>
                <c:pt idx="21">
                  <c:v>81.77</c:v>
                </c:pt>
                <c:pt idx="22">
                  <c:v>84.89</c:v>
                </c:pt>
                <c:pt idx="23">
                  <c:v>79.94</c:v>
                </c:pt>
                <c:pt idx="24">
                  <c:v>82.93</c:v>
                </c:pt>
                <c:pt idx="25">
                  <c:v>85.87</c:v>
                </c:pt>
                <c:pt idx="26">
                  <c:v>86</c:v>
                </c:pt>
                <c:pt idx="27">
                  <c:v>83.58</c:v>
                </c:pt>
                <c:pt idx="28">
                  <c:v>86</c:v>
                </c:pt>
                <c:pt idx="29">
                  <c:v>86</c:v>
                </c:pt>
                <c:pt idx="30">
                  <c:v>86</c:v>
                </c:pt>
                <c:pt idx="31">
                  <c:v>86</c:v>
                </c:pt>
                <c:pt idx="32">
                  <c:v>86</c:v>
                </c:pt>
                <c:pt idx="33">
                  <c:v>86</c:v>
                </c:pt>
                <c:pt idx="34">
                  <c:v>86</c:v>
                </c:pt>
                <c:pt idx="35">
                  <c:v>86</c:v>
                </c:pt>
                <c:pt idx="36">
                  <c:v>86</c:v>
                </c:pt>
                <c:pt idx="37">
                  <c:v>86</c:v>
                </c:pt>
                <c:pt idx="38">
                  <c:v>86</c:v>
                </c:pt>
                <c:pt idx="39">
                  <c:v>86</c:v>
                </c:pt>
                <c:pt idx="40">
                  <c:v>86</c:v>
                </c:pt>
                <c:pt idx="41">
                  <c:v>86</c:v>
                </c:pt>
                <c:pt idx="42">
                  <c:v>86</c:v>
                </c:pt>
                <c:pt idx="43">
                  <c:v>86</c:v>
                </c:pt>
                <c:pt idx="44">
                  <c:v>86</c:v>
                </c:pt>
                <c:pt idx="45">
                  <c:v>86</c:v>
                </c:pt>
                <c:pt idx="46">
                  <c:v>86</c:v>
                </c:pt>
                <c:pt idx="47">
                  <c:v>86</c:v>
                </c:pt>
                <c:pt idx="48">
                  <c:v>86</c:v>
                </c:pt>
                <c:pt idx="49">
                  <c:v>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CB8-4D0F-BADA-567070259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Accuracy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542925</xdr:colOff>
      <xdr:row>30</xdr:row>
      <xdr:rowOff>57150</xdr:rowOff>
    </xdr:from>
    <xdr:ext cx="10972800" cy="61912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16</xdr:col>
      <xdr:colOff>261937</xdr:colOff>
      <xdr:row>21</xdr:row>
      <xdr:rowOff>52387</xdr:rowOff>
    </xdr:from>
    <xdr:to>
      <xdr:col>23</xdr:col>
      <xdr:colOff>33337</xdr:colOff>
      <xdr:row>37</xdr:row>
      <xdr:rowOff>52387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B20A1AB-FE61-441A-92EC-BE35A93A5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556616</xdr:colOff>
      <xdr:row>22</xdr:row>
      <xdr:rowOff>57149</xdr:rowOff>
    </xdr:from>
    <xdr:to>
      <xdr:col>14</xdr:col>
      <xdr:colOff>336351</xdr:colOff>
      <xdr:row>38</xdr:row>
      <xdr:rowOff>38099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780D15F-C335-46A9-9540-FAC0F262A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113110</xdr:colOff>
      <xdr:row>3</xdr:row>
      <xdr:rowOff>95250</xdr:rowOff>
    </xdr:from>
    <xdr:to>
      <xdr:col>19</xdr:col>
      <xdr:colOff>577454</xdr:colOff>
      <xdr:row>18</xdr:row>
      <xdr:rowOff>16669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2A3E5ED-C3A1-41E6-BD5B-EF3202E0F4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627368</xdr:colOff>
      <xdr:row>11</xdr:row>
      <xdr:rowOff>157987</xdr:rowOff>
    </xdr:from>
    <xdr:to>
      <xdr:col>6</xdr:col>
      <xdr:colOff>329712</xdr:colOff>
      <xdr:row>27</xdr:row>
      <xdr:rowOff>90853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752E442E-7873-41E5-89CB-75AC22D7B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434579</xdr:colOff>
      <xdr:row>3</xdr:row>
      <xdr:rowOff>77391</xdr:rowOff>
    </xdr:from>
    <xdr:to>
      <xdr:col>13</xdr:col>
      <xdr:colOff>214313</xdr:colOff>
      <xdr:row>17</xdr:row>
      <xdr:rowOff>171450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4C767DE9-CB70-47CC-BEC2-2170D903E0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1020641</xdr:colOff>
      <xdr:row>3</xdr:row>
      <xdr:rowOff>3664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542925</xdr:colOff>
      <xdr:row>6</xdr:row>
      <xdr:rowOff>123825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19050</xdr:colOff>
      <xdr:row>34</xdr:row>
      <xdr:rowOff>38100</xdr:rowOff>
    </xdr:from>
    <xdr:ext cx="86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5</xdr:col>
      <xdr:colOff>189310</xdr:colOff>
      <xdr:row>2</xdr:row>
      <xdr:rowOff>147637</xdr:rowOff>
    </xdr:from>
    <xdr:to>
      <xdr:col>11</xdr:col>
      <xdr:colOff>652463</xdr:colOff>
      <xdr:row>18</xdr:row>
      <xdr:rowOff>73818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AB93F79-B1AE-4D9E-BCA7-7B63B2E81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219075</xdr:colOff>
      <xdr:row>35</xdr:row>
      <xdr:rowOff>128587</xdr:rowOff>
    </xdr:from>
    <xdr:to>
      <xdr:col>6</xdr:col>
      <xdr:colOff>447675</xdr:colOff>
      <xdr:row>51</xdr:row>
      <xdr:rowOff>128587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E4C730E-302D-423A-8241-F525F438C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523875</xdr:colOff>
      <xdr:row>9</xdr:row>
      <xdr:rowOff>85725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942975</xdr:colOff>
      <xdr:row>35</xdr:row>
      <xdr:rowOff>104775</xdr:rowOff>
    </xdr:from>
    <xdr:ext cx="792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6</xdr:col>
      <xdr:colOff>9525</xdr:colOff>
      <xdr:row>13</xdr:row>
      <xdr:rowOff>157162</xdr:rowOff>
    </xdr:from>
    <xdr:to>
      <xdr:col>12</xdr:col>
      <xdr:colOff>466725</xdr:colOff>
      <xdr:row>29</xdr:row>
      <xdr:rowOff>119062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B3B2579-99B2-4AE8-B9FD-6F735CC52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54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71</xdr:row>
      <xdr:rowOff>0</xdr:rowOff>
    </xdr:from>
    <xdr:ext cx="864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opLeftCell="A16" workbookViewId="0"/>
  </sheetViews>
  <sheetFormatPr defaultRowHeight="13.5" x14ac:dyDescent="0.15"/>
  <cols>
    <col min="1" max="1" width="14" customWidth="1"/>
    <col min="2" max="5" width="10" customWidth="1"/>
  </cols>
  <sheetData>
    <row r="1" spans="1:5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 t="s">
        <v>5</v>
      </c>
      <c r="B2" s="2">
        <v>43</v>
      </c>
      <c r="C2" s="2">
        <v>9</v>
      </c>
      <c r="D2" s="2">
        <v>6</v>
      </c>
      <c r="E2" s="2">
        <v>58</v>
      </c>
    </row>
    <row r="3" spans="1:5" x14ac:dyDescent="0.15">
      <c r="A3" s="2" t="s">
        <v>6</v>
      </c>
      <c r="B3" s="2">
        <v>50</v>
      </c>
      <c r="C3" s="2">
        <v>10</v>
      </c>
      <c r="D3" s="2">
        <v>6</v>
      </c>
      <c r="E3" s="2">
        <v>66</v>
      </c>
    </row>
    <row r="4" spans="1:5" x14ac:dyDescent="0.15">
      <c r="A4" s="2" t="s">
        <v>7</v>
      </c>
      <c r="B4" s="2">
        <v>40</v>
      </c>
      <c r="C4" s="2">
        <v>8</v>
      </c>
      <c r="D4" s="2">
        <v>6</v>
      </c>
      <c r="E4" s="2">
        <v>54</v>
      </c>
    </row>
    <row r="5" spans="1:5" x14ac:dyDescent="0.15">
      <c r="A5" s="2" t="s">
        <v>8</v>
      </c>
      <c r="B5" s="2">
        <v>50</v>
      </c>
      <c r="C5" s="2">
        <v>10</v>
      </c>
      <c r="D5" s="2">
        <v>6</v>
      </c>
      <c r="E5" s="2">
        <v>66</v>
      </c>
    </row>
    <row r="6" spans="1:5" x14ac:dyDescent="0.15">
      <c r="A6" s="2" t="s">
        <v>9</v>
      </c>
      <c r="B6" s="2">
        <v>50</v>
      </c>
      <c r="C6" s="2">
        <v>10</v>
      </c>
      <c r="D6" s="2">
        <v>6</v>
      </c>
      <c r="E6" s="2">
        <v>66</v>
      </c>
    </row>
    <row r="7" spans="1:5" x14ac:dyDescent="0.15">
      <c r="A7" s="2" t="s">
        <v>10</v>
      </c>
      <c r="B7" s="2">
        <v>50</v>
      </c>
      <c r="C7" s="2">
        <v>10</v>
      </c>
      <c r="D7" s="2">
        <v>7</v>
      </c>
      <c r="E7" s="2">
        <v>67</v>
      </c>
    </row>
    <row r="8" spans="1:5" x14ac:dyDescent="0.15">
      <c r="A8" s="2" t="s">
        <v>11</v>
      </c>
      <c r="B8" s="2">
        <v>50</v>
      </c>
      <c r="C8" s="2">
        <v>10</v>
      </c>
      <c r="D8" s="2">
        <v>7</v>
      </c>
      <c r="E8" s="2">
        <v>67</v>
      </c>
    </row>
    <row r="9" spans="1:5" x14ac:dyDescent="0.15">
      <c r="A9" s="2" t="s">
        <v>12</v>
      </c>
      <c r="B9" s="2">
        <v>50</v>
      </c>
      <c r="C9" s="2">
        <v>10</v>
      </c>
      <c r="D9" s="2">
        <v>6</v>
      </c>
      <c r="E9" s="2">
        <v>66</v>
      </c>
    </row>
    <row r="10" spans="1:5" x14ac:dyDescent="0.15">
      <c r="A10" s="2" t="s">
        <v>13</v>
      </c>
      <c r="B10" s="2">
        <v>50</v>
      </c>
      <c r="C10" s="2">
        <v>10</v>
      </c>
      <c r="D10" s="2">
        <v>6</v>
      </c>
      <c r="E10" s="2">
        <v>66</v>
      </c>
    </row>
    <row r="11" spans="1:5" x14ac:dyDescent="0.15">
      <c r="A11" s="2" t="s">
        <v>14</v>
      </c>
      <c r="B11" s="2">
        <v>67</v>
      </c>
      <c r="C11" s="2">
        <v>14</v>
      </c>
      <c r="D11" s="2">
        <v>7</v>
      </c>
      <c r="E11" s="2">
        <v>88</v>
      </c>
    </row>
    <row r="12" spans="1:5" x14ac:dyDescent="0.15">
      <c r="A12" s="2" t="s">
        <v>15</v>
      </c>
      <c r="B12" s="2">
        <v>149</v>
      </c>
      <c r="C12" s="2">
        <v>32</v>
      </c>
      <c r="D12" s="2">
        <v>22</v>
      </c>
      <c r="E12" s="2">
        <v>203</v>
      </c>
    </row>
    <row r="13" spans="1:5" x14ac:dyDescent="0.15">
      <c r="A13" s="2" t="s">
        <v>16</v>
      </c>
      <c r="B13" s="2">
        <v>188</v>
      </c>
      <c r="C13" s="2">
        <v>40</v>
      </c>
      <c r="D13" s="2">
        <v>28</v>
      </c>
      <c r="E13" s="2">
        <v>256</v>
      </c>
    </row>
    <row r="14" spans="1:5" x14ac:dyDescent="0.15">
      <c r="A14" s="2" t="s">
        <v>17</v>
      </c>
      <c r="B14" s="2">
        <v>198</v>
      </c>
      <c r="C14" s="2">
        <v>42</v>
      </c>
      <c r="D14" s="2">
        <v>30</v>
      </c>
      <c r="E14" s="2">
        <v>270</v>
      </c>
    </row>
    <row r="15" spans="1:5" x14ac:dyDescent="0.15">
      <c r="A15" s="2" t="s">
        <v>18</v>
      </c>
      <c r="B15" s="2">
        <v>195</v>
      </c>
      <c r="C15" s="2">
        <v>42</v>
      </c>
      <c r="D15" s="2">
        <v>29</v>
      </c>
      <c r="E15" s="2">
        <v>266</v>
      </c>
    </row>
    <row r="16" spans="1:5" x14ac:dyDescent="0.15">
      <c r="A16" s="2" t="s">
        <v>19</v>
      </c>
      <c r="B16" s="2">
        <v>194</v>
      </c>
      <c r="C16" s="2">
        <v>42</v>
      </c>
      <c r="D16" s="2">
        <v>29</v>
      </c>
      <c r="E16" s="2">
        <v>265</v>
      </c>
    </row>
    <row r="17" spans="1:5" ht="14.25" x14ac:dyDescent="0.15">
      <c r="A17" s="3" t="s">
        <v>4</v>
      </c>
      <c r="B17" s="3">
        <v>1424</v>
      </c>
      <c r="C17" s="3">
        <v>299</v>
      </c>
      <c r="D17" s="3">
        <v>201</v>
      </c>
      <c r="E17" s="3">
        <v>1924</v>
      </c>
    </row>
  </sheetData>
  <phoneticPr fontId="4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3.5" x14ac:dyDescent="0.15"/>
  <cols>
    <col min="1" max="1" width="22" customWidth="1"/>
    <col min="2" max="2" width="16" customWidth="1"/>
    <col min="3" max="3" width="18" customWidth="1"/>
  </cols>
  <sheetData>
    <row r="1" spans="1:3" ht="14.25" x14ac:dyDescent="0.15">
      <c r="A1" s="1" t="s">
        <v>20</v>
      </c>
      <c r="B1" s="1" t="s">
        <v>21</v>
      </c>
      <c r="C1" s="1" t="s">
        <v>22</v>
      </c>
    </row>
    <row r="2" spans="1:3" x14ac:dyDescent="0.15">
      <c r="A2" s="2" t="s">
        <v>23</v>
      </c>
      <c r="B2" s="2">
        <v>15.3</v>
      </c>
      <c r="C2" s="2">
        <v>30.43</v>
      </c>
    </row>
    <row r="3" spans="1:3" x14ac:dyDescent="0.15">
      <c r="A3" s="2" t="s">
        <v>24</v>
      </c>
      <c r="B3" s="2">
        <v>18.2</v>
      </c>
      <c r="C3" s="2">
        <v>20.29</v>
      </c>
    </row>
    <row r="4" spans="1:3" x14ac:dyDescent="0.15">
      <c r="A4" s="2" t="s">
        <v>25</v>
      </c>
      <c r="B4" s="2">
        <v>19.600000000000001</v>
      </c>
      <c r="C4" s="2">
        <v>19.57</v>
      </c>
    </row>
    <row r="5" spans="1:3" x14ac:dyDescent="0.15">
      <c r="A5" s="2" t="s">
        <v>26</v>
      </c>
      <c r="B5" s="2">
        <v>58.7</v>
      </c>
      <c r="C5" s="2">
        <v>72.5</v>
      </c>
    </row>
    <row r="6" spans="1:3" x14ac:dyDescent="0.15">
      <c r="A6" s="2" t="s">
        <v>27</v>
      </c>
      <c r="B6" s="2">
        <v>72.400000000000006</v>
      </c>
      <c r="C6" s="2">
        <v>85.5</v>
      </c>
    </row>
    <row r="7" spans="1:3" x14ac:dyDescent="0.15">
      <c r="A7" s="2" t="s">
        <v>28</v>
      </c>
      <c r="B7" s="2">
        <v>68.47</v>
      </c>
      <c r="C7" s="2">
        <v>82.6</v>
      </c>
    </row>
    <row r="8" spans="1:3" x14ac:dyDescent="0.15">
      <c r="A8" s="2" t="s">
        <v>29</v>
      </c>
      <c r="B8" s="2">
        <v>81.77</v>
      </c>
      <c r="C8" s="2">
        <v>88.4</v>
      </c>
    </row>
    <row r="9" spans="1:3" x14ac:dyDescent="0.15">
      <c r="A9" s="2" t="s">
        <v>30</v>
      </c>
      <c r="B9" s="2">
        <v>84.73</v>
      </c>
      <c r="C9" s="2">
        <v>91.3</v>
      </c>
    </row>
    <row r="10" spans="1:3" x14ac:dyDescent="0.15">
      <c r="A10" s="2" t="s">
        <v>31</v>
      </c>
      <c r="B10" s="2">
        <v>85.22</v>
      </c>
      <c r="C10" s="2">
        <v>92.75</v>
      </c>
    </row>
    <row r="11" spans="1:3" x14ac:dyDescent="0.15">
      <c r="A11" s="2" t="s">
        <v>32</v>
      </c>
      <c r="B11" s="2">
        <v>88.36</v>
      </c>
      <c r="C11" s="2">
        <v>95.65</v>
      </c>
    </row>
  </sheetData>
  <phoneticPr fontId="4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tabSelected="1" zoomScale="130" zoomScaleNormal="130" workbookViewId="0">
      <selection activeCell="P1" sqref="P1"/>
    </sheetView>
  </sheetViews>
  <sheetFormatPr defaultRowHeight="13.5" x14ac:dyDescent="0.15"/>
  <cols>
    <col min="1" max="2" width="14" customWidth="1"/>
  </cols>
  <sheetData>
    <row r="1" spans="1:6" ht="15" thickBot="1" x14ac:dyDescent="0.2">
      <c r="A1" s="1" t="s">
        <v>0</v>
      </c>
      <c r="B1" s="7" t="s">
        <v>114</v>
      </c>
      <c r="C1" s="13" t="s">
        <v>115</v>
      </c>
      <c r="D1" s="13" t="s">
        <v>111</v>
      </c>
      <c r="E1" s="14" t="s">
        <v>112</v>
      </c>
      <c r="F1" s="13" t="s">
        <v>113</v>
      </c>
    </row>
    <row r="2" spans="1:6" ht="15" thickBot="1" x14ac:dyDescent="0.25">
      <c r="A2" s="11" t="s">
        <v>92</v>
      </c>
      <c r="B2" s="6">
        <v>59.12</v>
      </c>
      <c r="C2" s="9">
        <v>18.27</v>
      </c>
      <c r="D2" s="9">
        <v>25.4</v>
      </c>
      <c r="E2" s="9">
        <v>35.200000000000003</v>
      </c>
      <c r="F2" s="9">
        <v>44.1</v>
      </c>
    </row>
    <row r="3" spans="1:6" ht="15" thickBot="1" x14ac:dyDescent="0.25">
      <c r="A3" s="11" t="s">
        <v>93</v>
      </c>
      <c r="B3" s="6">
        <v>51.56</v>
      </c>
      <c r="C3" s="9">
        <v>14.53</v>
      </c>
      <c r="D3" s="9">
        <v>22.1</v>
      </c>
      <c r="E3" s="9">
        <v>30.4</v>
      </c>
      <c r="F3" s="9">
        <v>38.6</v>
      </c>
    </row>
    <row r="4" spans="1:6" ht="15" thickBot="1" x14ac:dyDescent="0.25">
      <c r="A4" s="11" t="s">
        <v>94</v>
      </c>
      <c r="B4" s="6">
        <v>47.45</v>
      </c>
      <c r="C4" s="9">
        <v>16.89</v>
      </c>
      <c r="D4" s="9">
        <v>28.6</v>
      </c>
      <c r="E4" s="9">
        <v>32.6</v>
      </c>
      <c r="F4" s="9">
        <v>41.2</v>
      </c>
    </row>
    <row r="5" spans="1:6" ht="15" thickBot="1" x14ac:dyDescent="0.25">
      <c r="A5" s="11" t="s">
        <v>95</v>
      </c>
      <c r="B5" s="6">
        <v>79.72</v>
      </c>
      <c r="C5" s="9">
        <v>26.12</v>
      </c>
      <c r="D5" s="9">
        <v>45.8</v>
      </c>
      <c r="E5" s="9">
        <v>42.1</v>
      </c>
      <c r="F5" s="9">
        <v>55.4</v>
      </c>
    </row>
    <row r="6" spans="1:6" ht="15" thickBot="1" x14ac:dyDescent="0.25">
      <c r="A6" s="11" t="s">
        <v>96</v>
      </c>
      <c r="B6" s="6">
        <v>77.040000000000006</v>
      </c>
      <c r="C6" s="9">
        <v>24.46</v>
      </c>
      <c r="D6" s="9">
        <v>42.3</v>
      </c>
      <c r="E6" s="9">
        <v>39.700000000000003</v>
      </c>
      <c r="F6" s="9">
        <v>53.2</v>
      </c>
    </row>
    <row r="7" spans="1:6" ht="15" thickBot="1" x14ac:dyDescent="0.25">
      <c r="A7" s="11" t="s">
        <v>97</v>
      </c>
      <c r="B7" s="6">
        <v>28.46</v>
      </c>
      <c r="C7" s="9">
        <v>11.45</v>
      </c>
      <c r="D7" s="9">
        <v>15.2</v>
      </c>
      <c r="E7" s="9">
        <v>18.3</v>
      </c>
      <c r="F7" s="9">
        <v>24.2</v>
      </c>
    </row>
    <row r="8" spans="1:6" ht="15" thickBot="1" x14ac:dyDescent="0.25">
      <c r="A8" s="11" t="s">
        <v>98</v>
      </c>
      <c r="B8" s="6">
        <v>40.840000000000003</v>
      </c>
      <c r="C8" s="9">
        <v>13.66</v>
      </c>
      <c r="D8" s="9">
        <v>19.399999999999999</v>
      </c>
      <c r="E8" s="9">
        <v>22.5</v>
      </c>
      <c r="F8" s="9">
        <v>31.5</v>
      </c>
    </row>
    <row r="9" spans="1:6" ht="15" thickBot="1" x14ac:dyDescent="0.25">
      <c r="A9" s="11" t="s">
        <v>99</v>
      </c>
      <c r="B9" s="6">
        <v>59.56</v>
      </c>
      <c r="C9" s="9">
        <v>17.579999999999998</v>
      </c>
      <c r="D9" s="9">
        <v>26.7</v>
      </c>
      <c r="E9" s="9">
        <v>30.6</v>
      </c>
      <c r="F9" s="9">
        <v>42.6</v>
      </c>
    </row>
    <row r="10" spans="1:6" ht="15" thickBot="1" x14ac:dyDescent="0.25">
      <c r="A10" s="11" t="s">
        <v>100</v>
      </c>
      <c r="B10" s="6">
        <v>76.12</v>
      </c>
      <c r="C10" s="9">
        <v>25.82</v>
      </c>
      <c r="D10" s="9">
        <v>40.200000000000003</v>
      </c>
      <c r="E10" s="9">
        <v>42.8</v>
      </c>
      <c r="F10" s="9">
        <v>58.4</v>
      </c>
    </row>
    <row r="11" spans="1:6" ht="15" thickBot="1" x14ac:dyDescent="0.25">
      <c r="A11" s="11" t="s">
        <v>101</v>
      </c>
      <c r="B11" s="6">
        <v>81.180000000000007</v>
      </c>
      <c r="C11" s="9">
        <v>28.21</v>
      </c>
      <c r="D11" s="9">
        <v>44.5</v>
      </c>
      <c r="E11" s="9">
        <v>44.8</v>
      </c>
      <c r="F11" s="9">
        <v>60.8</v>
      </c>
    </row>
    <row r="12" spans="1:6" ht="15" thickBot="1" x14ac:dyDescent="0.25">
      <c r="A12" s="11" t="s">
        <v>102</v>
      </c>
      <c r="B12" s="2">
        <v>70.83</v>
      </c>
      <c r="C12" s="9">
        <v>16.079999999999998</v>
      </c>
      <c r="D12" s="9">
        <v>44.2</v>
      </c>
      <c r="E12" s="9">
        <v>61.3</v>
      </c>
      <c r="F12" s="9">
        <v>65.12</v>
      </c>
    </row>
    <row r="13" spans="1:6" ht="15" thickBot="1" x14ac:dyDescent="0.25">
      <c r="A13" s="11" t="s">
        <v>103</v>
      </c>
      <c r="B13" s="2">
        <v>79.290000000000006</v>
      </c>
      <c r="C13" s="9">
        <v>18.29</v>
      </c>
      <c r="D13" s="9">
        <v>47.85</v>
      </c>
      <c r="E13" s="9">
        <v>65.45</v>
      </c>
      <c r="F13" s="9">
        <v>69.430000000000007</v>
      </c>
    </row>
    <row r="14" spans="1:6" ht="15" thickBot="1" x14ac:dyDescent="0.25">
      <c r="A14" s="11" t="s">
        <v>104</v>
      </c>
      <c r="B14" s="2">
        <v>81.180000000000007</v>
      </c>
      <c r="C14" s="9">
        <v>21.41</v>
      </c>
      <c r="D14" s="9">
        <v>52.1</v>
      </c>
      <c r="E14" s="9">
        <v>69.180000000000007</v>
      </c>
      <c r="F14" s="9">
        <v>73.56</v>
      </c>
    </row>
    <row r="15" spans="1:6" ht="15" thickBot="1" x14ac:dyDescent="0.25">
      <c r="A15" s="11" t="s">
        <v>105</v>
      </c>
      <c r="B15" s="2">
        <v>84.31</v>
      </c>
      <c r="C15" s="9">
        <v>20.65</v>
      </c>
      <c r="D15" s="9">
        <v>55.43</v>
      </c>
      <c r="E15" s="9">
        <v>72.150000000000006</v>
      </c>
      <c r="F15" s="9">
        <v>76.180000000000007</v>
      </c>
    </row>
    <row r="16" spans="1:6" ht="15" thickBot="1" x14ac:dyDescent="0.25">
      <c r="A16" s="11" t="s">
        <v>106</v>
      </c>
      <c r="B16" s="2">
        <v>88.15</v>
      </c>
      <c r="C16" s="9">
        <v>21.43</v>
      </c>
      <c r="D16" s="9">
        <v>56.42</v>
      </c>
      <c r="E16" s="9">
        <v>72.52</v>
      </c>
      <c r="F16" s="9">
        <v>77.209999999999994</v>
      </c>
    </row>
    <row r="17" spans="2:6" x14ac:dyDescent="0.15">
      <c r="B17">
        <f>AVERAGE(B12:B16)</f>
        <v>80.751999999999995</v>
      </c>
      <c r="C17" s="12">
        <f t="shared" ref="C17:F17" si="0">AVERAGE(C12:C16)</f>
        <v>19.572000000000003</v>
      </c>
      <c r="D17" s="12">
        <f t="shared" si="0"/>
        <v>51.2</v>
      </c>
      <c r="E17" s="12">
        <f t="shared" si="0"/>
        <v>68.12</v>
      </c>
      <c r="F17" s="12">
        <f t="shared" si="0"/>
        <v>72.3</v>
      </c>
    </row>
  </sheetData>
  <phoneticPr fontId="4" type="noConversion"/>
  <pageMargins left="0.75" right="0.75" top="1" bottom="1" header="0.5" footer="0.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130" zoomScaleNormal="130" workbookViewId="0"/>
  </sheetViews>
  <sheetFormatPr defaultRowHeight="13.5" x14ac:dyDescent="0.15"/>
  <cols>
    <col min="1" max="1" width="22" customWidth="1"/>
    <col min="2" max="2" width="14" customWidth="1"/>
    <col min="3" max="3" width="10" customWidth="1"/>
  </cols>
  <sheetData>
    <row r="1" spans="1:3" ht="14.25" x14ac:dyDescent="0.15">
      <c r="A1" s="1" t="s">
        <v>34</v>
      </c>
      <c r="B1" s="1" t="s">
        <v>35</v>
      </c>
      <c r="C1" s="1" t="s">
        <v>36</v>
      </c>
    </row>
    <row r="2" spans="1:3" x14ac:dyDescent="0.15">
      <c r="A2" s="2" t="s">
        <v>37</v>
      </c>
      <c r="B2" s="2">
        <v>88.36</v>
      </c>
      <c r="C2" s="2">
        <v>0</v>
      </c>
    </row>
    <row r="3" spans="1:3" x14ac:dyDescent="0.15">
      <c r="A3" s="2" t="s">
        <v>38</v>
      </c>
      <c r="B3" s="2">
        <v>86.51</v>
      </c>
      <c r="C3" s="2">
        <v>-1.85</v>
      </c>
    </row>
    <row r="4" spans="1:3" x14ac:dyDescent="0.15">
      <c r="A4" s="2" t="s">
        <v>39</v>
      </c>
      <c r="B4" s="2">
        <v>86.21</v>
      </c>
      <c r="C4" s="2">
        <v>-2.15</v>
      </c>
    </row>
    <row r="5" spans="1:3" x14ac:dyDescent="0.15">
      <c r="A5" s="2" t="s">
        <v>40</v>
      </c>
      <c r="B5" s="2">
        <v>84.73</v>
      </c>
      <c r="C5" s="2">
        <v>-3.63</v>
      </c>
    </row>
    <row r="6" spans="1:3" x14ac:dyDescent="0.15">
      <c r="A6" s="2" t="s">
        <v>41</v>
      </c>
      <c r="B6" s="2">
        <v>85.71</v>
      </c>
      <c r="C6" s="2">
        <v>-2.65</v>
      </c>
    </row>
    <row r="7" spans="1:3" x14ac:dyDescent="0.15">
      <c r="A7" s="2" t="s">
        <v>42</v>
      </c>
      <c r="B7" s="2">
        <v>86.75</v>
      </c>
      <c r="C7" s="2">
        <v>-1.61</v>
      </c>
    </row>
    <row r="8" spans="1:3" x14ac:dyDescent="0.15">
      <c r="A8" s="2" t="s">
        <v>43</v>
      </c>
      <c r="B8" s="2">
        <v>85.22</v>
      </c>
      <c r="C8" s="2">
        <v>-3.14</v>
      </c>
    </row>
    <row r="9" spans="1:3" x14ac:dyDescent="0.15">
      <c r="A9" s="2" t="s">
        <v>44</v>
      </c>
      <c r="B9" s="2">
        <v>84.73</v>
      </c>
      <c r="C9" s="2">
        <v>-3.63</v>
      </c>
    </row>
  </sheetData>
  <phoneticPr fontId="4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zoomScale="160" zoomScaleNormal="160" workbookViewId="0">
      <selection activeCell="B31" sqref="B31"/>
    </sheetView>
  </sheetViews>
  <sheetFormatPr defaultRowHeight="13.5" x14ac:dyDescent="0.15"/>
  <cols>
    <col min="1" max="5" width="16" customWidth="1"/>
  </cols>
  <sheetData>
    <row r="1" spans="1:5" ht="16.5" thickBot="1" x14ac:dyDescent="0.3">
      <c r="A1" s="15" t="s">
        <v>45</v>
      </c>
      <c r="B1" s="16"/>
      <c r="C1" s="16"/>
      <c r="D1" s="16"/>
      <c r="E1" s="16"/>
    </row>
    <row r="2" spans="1:5" ht="17.25" thickBot="1" x14ac:dyDescent="0.4">
      <c r="A2" s="8" t="s">
        <v>46</v>
      </c>
      <c r="B2" s="10" t="s">
        <v>107</v>
      </c>
      <c r="C2" s="10" t="s">
        <v>108</v>
      </c>
      <c r="D2" s="10" t="s">
        <v>109</v>
      </c>
      <c r="E2" s="10" t="s">
        <v>110</v>
      </c>
    </row>
    <row r="3" spans="1:5" ht="15" thickBot="1" x14ac:dyDescent="0.25">
      <c r="A3" s="8" t="s">
        <v>47</v>
      </c>
      <c r="B3" s="9">
        <v>74.760000000000005</v>
      </c>
      <c r="C3" s="9">
        <v>74.760000000000005</v>
      </c>
      <c r="D3" s="9">
        <v>74.760000000000005</v>
      </c>
      <c r="E3" s="9">
        <v>74.760000000000005</v>
      </c>
    </row>
    <row r="4" spans="1:5" ht="15" thickBot="1" x14ac:dyDescent="0.25">
      <c r="A4" s="10" t="s">
        <v>87</v>
      </c>
      <c r="B4" s="9">
        <v>75.42</v>
      </c>
      <c r="C4" s="9">
        <v>75.05</v>
      </c>
      <c r="D4" s="9">
        <v>75.88</v>
      </c>
      <c r="E4" s="9">
        <v>75.349999999999994</v>
      </c>
    </row>
    <row r="5" spans="1:5" ht="15" thickBot="1" x14ac:dyDescent="0.25">
      <c r="A5" s="10" t="s">
        <v>88</v>
      </c>
      <c r="B5" s="9">
        <v>76.52</v>
      </c>
      <c r="C5" s="9">
        <v>75.95</v>
      </c>
      <c r="D5" s="9">
        <v>77.040000000000006</v>
      </c>
      <c r="E5" s="9">
        <v>76.41</v>
      </c>
    </row>
    <row r="6" spans="1:5" ht="15" thickBot="1" x14ac:dyDescent="0.25">
      <c r="A6" s="10" t="s">
        <v>89</v>
      </c>
      <c r="B6" s="9">
        <v>77.349999999999994</v>
      </c>
      <c r="C6" s="9">
        <v>76.62</v>
      </c>
      <c r="D6" s="9">
        <v>78.39</v>
      </c>
      <c r="E6" s="9">
        <v>77.55</v>
      </c>
    </row>
    <row r="7" spans="1:5" x14ac:dyDescent="0.15">
      <c r="B7">
        <f>B3+10</f>
        <v>84.76</v>
      </c>
      <c r="C7">
        <f t="shared" ref="C7:E7" si="0">C3+10</f>
        <v>84.76</v>
      </c>
      <c r="D7">
        <f t="shared" si="0"/>
        <v>84.76</v>
      </c>
      <c r="E7">
        <f t="shared" si="0"/>
        <v>84.76</v>
      </c>
    </row>
    <row r="8" spans="1:5" x14ac:dyDescent="0.15">
      <c r="B8">
        <f t="shared" ref="B8:E8" si="1">B4+10</f>
        <v>85.42</v>
      </c>
      <c r="C8">
        <f t="shared" si="1"/>
        <v>85.05</v>
      </c>
      <c r="D8">
        <f t="shared" si="1"/>
        <v>85.88</v>
      </c>
      <c r="E8">
        <f t="shared" si="1"/>
        <v>85.35</v>
      </c>
    </row>
    <row r="9" spans="1:5" x14ac:dyDescent="0.15">
      <c r="B9">
        <f t="shared" ref="B9:E9" si="2">B5+10</f>
        <v>86.52</v>
      </c>
      <c r="C9">
        <f t="shared" si="2"/>
        <v>85.95</v>
      </c>
      <c r="D9">
        <f t="shared" si="2"/>
        <v>87.04</v>
      </c>
      <c r="E9">
        <f t="shared" si="2"/>
        <v>86.41</v>
      </c>
    </row>
    <row r="10" spans="1:5" x14ac:dyDescent="0.15">
      <c r="B10">
        <f t="shared" ref="B10:E10" si="3">B6+10</f>
        <v>87.35</v>
      </c>
      <c r="C10">
        <f t="shared" si="3"/>
        <v>86.62</v>
      </c>
      <c r="D10">
        <f t="shared" si="3"/>
        <v>88.39</v>
      </c>
      <c r="E10">
        <f t="shared" si="3"/>
        <v>87.55</v>
      </c>
    </row>
    <row r="26" spans="1:5" ht="16.5" thickBot="1" x14ac:dyDescent="0.3">
      <c r="A26" s="15" t="s">
        <v>48</v>
      </c>
      <c r="B26" s="16"/>
      <c r="C26" s="16"/>
      <c r="D26" s="16"/>
      <c r="E26" s="16"/>
    </row>
    <row r="27" spans="1:5" ht="15" thickBot="1" x14ac:dyDescent="0.25">
      <c r="A27" s="8" t="s">
        <v>0</v>
      </c>
      <c r="B27" s="8" t="s">
        <v>49</v>
      </c>
      <c r="C27" s="10" t="s">
        <v>90</v>
      </c>
      <c r="D27" s="8" t="s">
        <v>33</v>
      </c>
      <c r="E27" s="8" t="s">
        <v>50</v>
      </c>
    </row>
    <row r="28" spans="1:5" ht="15" thickBot="1" x14ac:dyDescent="0.25">
      <c r="A28" s="8" t="s">
        <v>8</v>
      </c>
      <c r="B28" s="9">
        <v>76.540000000000006</v>
      </c>
      <c r="C28" s="9">
        <v>81.72</v>
      </c>
      <c r="D28" s="9">
        <v>5.18</v>
      </c>
      <c r="E28" s="9">
        <v>6</v>
      </c>
    </row>
    <row r="29" spans="1:5" ht="15" thickBot="1" x14ac:dyDescent="0.25">
      <c r="A29" s="8" t="s">
        <v>6</v>
      </c>
      <c r="B29" s="9">
        <v>48.25</v>
      </c>
      <c r="C29" s="9">
        <v>53.56</v>
      </c>
      <c r="D29" s="9">
        <v>5.31</v>
      </c>
      <c r="E29" s="9">
        <v>6</v>
      </c>
    </row>
    <row r="30" spans="1:5" ht="15" thickBot="1" x14ac:dyDescent="0.25">
      <c r="A30" s="8" t="s">
        <v>12</v>
      </c>
      <c r="B30" s="9">
        <v>55.4</v>
      </c>
      <c r="C30" s="9">
        <v>61.56</v>
      </c>
      <c r="D30" s="9">
        <v>6.16</v>
      </c>
      <c r="E30" s="9">
        <v>6</v>
      </c>
    </row>
    <row r="31" spans="1:5" ht="15" thickBot="1" x14ac:dyDescent="0.25">
      <c r="A31" s="8" t="s">
        <v>11</v>
      </c>
      <c r="B31" s="9">
        <v>38.119999999999997</v>
      </c>
      <c r="C31" s="9">
        <v>42.84</v>
      </c>
      <c r="D31" s="9">
        <v>4.72</v>
      </c>
      <c r="E31" s="9">
        <v>7</v>
      </c>
    </row>
    <row r="32" spans="1:5" ht="15" thickBot="1" x14ac:dyDescent="0.25">
      <c r="A32" s="8" t="s">
        <v>18</v>
      </c>
      <c r="B32" s="9">
        <v>80.2</v>
      </c>
      <c r="C32" s="9">
        <v>83.31</v>
      </c>
      <c r="D32" s="9">
        <v>3.11</v>
      </c>
      <c r="E32" s="9">
        <v>29</v>
      </c>
    </row>
    <row r="33" spans="1:5" ht="15" thickBot="1" x14ac:dyDescent="0.25">
      <c r="A33" s="8" t="s">
        <v>17</v>
      </c>
      <c r="B33" s="9">
        <v>76.45</v>
      </c>
      <c r="C33" s="9">
        <v>80.180000000000007</v>
      </c>
      <c r="D33" s="9">
        <v>3.73</v>
      </c>
      <c r="E33" s="9">
        <v>30</v>
      </c>
    </row>
    <row r="34" spans="1:5" ht="15" thickBot="1" x14ac:dyDescent="0.25">
      <c r="A34" s="8" t="s">
        <v>16</v>
      </c>
      <c r="B34" s="9">
        <v>76.150000000000006</v>
      </c>
      <c r="C34" s="9">
        <v>79.290000000000006</v>
      </c>
      <c r="D34" s="9">
        <v>3.14</v>
      </c>
      <c r="E34" s="9">
        <v>28</v>
      </c>
    </row>
  </sheetData>
  <mergeCells count="2">
    <mergeCell ref="A1:E1"/>
    <mergeCell ref="A26:E26"/>
  </mergeCells>
  <phoneticPr fontId="4" type="noConversion"/>
  <pageMargins left="0.75" right="0.75" top="1" bottom="1" header="0.5" footer="0.5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"/>
  <sheetViews>
    <sheetView workbookViewId="0">
      <selection activeCell="A28" sqref="A28:G28"/>
    </sheetView>
  </sheetViews>
  <sheetFormatPr defaultRowHeight="13.5" x14ac:dyDescent="0.15"/>
  <cols>
    <col min="1" max="6" width="14" customWidth="1"/>
  </cols>
  <sheetData>
    <row r="1" spans="1:6" ht="14.25" x14ac:dyDescent="0.15">
      <c r="A1" s="17" t="s">
        <v>91</v>
      </c>
      <c r="B1" s="16"/>
      <c r="C1" s="16"/>
      <c r="D1" s="16"/>
      <c r="E1" s="16"/>
      <c r="F1" s="16"/>
    </row>
    <row r="2" spans="1:6" ht="14.25" x14ac:dyDescent="0.15">
      <c r="A2" s="1" t="s">
        <v>51</v>
      </c>
      <c r="B2" s="1" t="s">
        <v>52</v>
      </c>
      <c r="C2" s="1" t="s">
        <v>53</v>
      </c>
      <c r="D2" s="1" t="s">
        <v>54</v>
      </c>
      <c r="E2" s="1" t="s">
        <v>35</v>
      </c>
      <c r="F2" s="1" t="s">
        <v>55</v>
      </c>
    </row>
    <row r="3" spans="1:6" x14ac:dyDescent="0.15">
      <c r="A3" s="2">
        <v>4</v>
      </c>
      <c r="B3" s="2">
        <v>331007</v>
      </c>
      <c r="C3" s="2">
        <v>438999312</v>
      </c>
      <c r="D3" s="2">
        <v>7.4999999999999997E-2</v>
      </c>
      <c r="E3" s="2">
        <v>79.23</v>
      </c>
      <c r="F3" s="2">
        <v>28</v>
      </c>
    </row>
    <row r="4" spans="1:6" x14ac:dyDescent="0.15">
      <c r="A4" s="2">
        <v>8</v>
      </c>
      <c r="B4" s="2">
        <v>662015</v>
      </c>
      <c r="C4" s="2">
        <v>438999312</v>
      </c>
      <c r="D4" s="2">
        <v>0.151</v>
      </c>
      <c r="E4" s="2">
        <v>84.15</v>
      </c>
      <c r="F4" s="2">
        <v>36</v>
      </c>
    </row>
    <row r="5" spans="1:6" x14ac:dyDescent="0.15">
      <c r="A5" s="2">
        <v>16</v>
      </c>
      <c r="B5" s="2">
        <v>1323023</v>
      </c>
      <c r="C5" s="2">
        <v>438999312</v>
      </c>
      <c r="D5" s="2">
        <v>0.30099999999999999</v>
      </c>
      <c r="E5" s="2">
        <v>84.15</v>
      </c>
      <c r="F5" s="2">
        <v>50</v>
      </c>
    </row>
    <row r="6" spans="1:6" x14ac:dyDescent="0.15">
      <c r="A6" s="2">
        <v>32</v>
      </c>
      <c r="B6" s="2">
        <v>2645039</v>
      </c>
      <c r="C6" s="2">
        <v>438999312</v>
      </c>
      <c r="D6" s="2">
        <v>0.60299999999999998</v>
      </c>
      <c r="E6" s="2">
        <v>82.41</v>
      </c>
      <c r="F6" s="2">
        <v>50</v>
      </c>
    </row>
    <row r="7" spans="1:6" x14ac:dyDescent="0.15">
      <c r="A7" s="2">
        <v>64</v>
      </c>
      <c r="B7" s="2">
        <v>5289071</v>
      </c>
      <c r="C7" s="2">
        <v>438999312</v>
      </c>
      <c r="D7" s="2">
        <v>1.2050000000000001</v>
      </c>
      <c r="E7" s="2">
        <v>80.19</v>
      </c>
      <c r="F7" s="2">
        <v>45</v>
      </c>
    </row>
    <row r="27" spans="1:6" ht="15.75" x14ac:dyDescent="0.25">
      <c r="A27" s="15" t="s">
        <v>56</v>
      </c>
      <c r="B27" s="16"/>
      <c r="C27" s="16"/>
      <c r="D27" s="16"/>
      <c r="E27" s="16"/>
      <c r="F27" s="16"/>
    </row>
    <row r="28" spans="1:6" ht="14.25" x14ac:dyDescent="0.15">
      <c r="A28" s="1" t="s">
        <v>57</v>
      </c>
      <c r="B28" s="1" t="s">
        <v>58</v>
      </c>
      <c r="C28" s="1" t="s">
        <v>59</v>
      </c>
      <c r="D28" s="1" t="s">
        <v>60</v>
      </c>
      <c r="E28" s="1" t="s">
        <v>35</v>
      </c>
      <c r="F28" s="1" t="s">
        <v>61</v>
      </c>
    </row>
    <row r="29" spans="1:6" x14ac:dyDescent="0.15">
      <c r="A29" s="2" t="s">
        <v>62</v>
      </c>
      <c r="B29" s="2">
        <v>87.8</v>
      </c>
      <c r="C29" s="2">
        <v>224</v>
      </c>
      <c r="D29" s="2">
        <v>0.33</v>
      </c>
      <c r="E29" s="2">
        <v>68.47</v>
      </c>
      <c r="F29" s="2">
        <v>28.5</v>
      </c>
    </row>
    <row r="30" spans="1:6" x14ac:dyDescent="0.15">
      <c r="A30" s="2" t="s">
        <v>63</v>
      </c>
      <c r="B30" s="2">
        <v>86.2</v>
      </c>
      <c r="C30" s="2">
        <v>224</v>
      </c>
      <c r="D30" s="2">
        <v>0.33</v>
      </c>
      <c r="E30" s="2">
        <v>73.86</v>
      </c>
      <c r="F30" s="2">
        <v>45.2</v>
      </c>
    </row>
    <row r="31" spans="1:6" x14ac:dyDescent="0.15">
      <c r="A31" s="2" t="s">
        <v>64</v>
      </c>
      <c r="B31" s="2">
        <v>304</v>
      </c>
      <c r="C31" s="2">
        <v>224</v>
      </c>
      <c r="D31" s="2">
        <v>1.32</v>
      </c>
      <c r="E31" s="2">
        <v>81.77</v>
      </c>
      <c r="F31" s="2">
        <v>78.3</v>
      </c>
    </row>
    <row r="32" spans="1:6" x14ac:dyDescent="0.15">
      <c r="A32" s="2" t="s">
        <v>65</v>
      </c>
      <c r="B32" s="2">
        <v>304.7</v>
      </c>
      <c r="C32" s="2">
        <v>336</v>
      </c>
      <c r="D32" s="2">
        <v>1.32</v>
      </c>
      <c r="E32" s="2">
        <v>84.15</v>
      </c>
      <c r="F32" s="2">
        <v>92.4</v>
      </c>
    </row>
  </sheetData>
  <mergeCells count="2">
    <mergeCell ref="A1:F1"/>
    <mergeCell ref="A27:F27"/>
  </mergeCells>
  <phoneticPr fontId="4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1"/>
  <sheetViews>
    <sheetView topLeftCell="A52" workbookViewId="0"/>
  </sheetViews>
  <sheetFormatPr defaultRowHeight="13.5" x14ac:dyDescent="0.15"/>
  <cols>
    <col min="1" max="5" width="14" customWidth="1"/>
  </cols>
  <sheetData>
    <row r="1" spans="1:5" ht="14.25" x14ac:dyDescent="0.1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 x14ac:dyDescent="0.15">
      <c r="A2" s="2">
        <v>1</v>
      </c>
      <c r="B2" s="2">
        <v>2.5044</v>
      </c>
      <c r="C2" s="2">
        <v>2.4127999999999998</v>
      </c>
      <c r="D2" s="2">
        <v>30.77</v>
      </c>
      <c r="E2" s="2">
        <v>31.19</v>
      </c>
    </row>
    <row r="3" spans="1:5" x14ac:dyDescent="0.15">
      <c r="A3" s="2">
        <v>2</v>
      </c>
      <c r="B3" s="2">
        <v>2.3873000000000002</v>
      </c>
      <c r="C3" s="2">
        <v>2.3561000000000001</v>
      </c>
      <c r="D3" s="2">
        <v>37.590000000000003</v>
      </c>
      <c r="E3" s="2">
        <v>37.14</v>
      </c>
    </row>
    <row r="4" spans="1:5" x14ac:dyDescent="0.15">
      <c r="A4" s="2">
        <v>3</v>
      </c>
      <c r="B4" s="2">
        <v>2.2181999999999999</v>
      </c>
      <c r="C4" s="2">
        <v>2.3046000000000002</v>
      </c>
      <c r="D4" s="2">
        <v>39.5</v>
      </c>
      <c r="E4" s="2">
        <v>42.86</v>
      </c>
    </row>
    <row r="5" spans="1:5" x14ac:dyDescent="0.15">
      <c r="A5" s="2">
        <v>4</v>
      </c>
      <c r="B5" s="2">
        <v>2.1166</v>
      </c>
      <c r="C5" s="2">
        <v>2.0581</v>
      </c>
      <c r="D5" s="2">
        <v>45.54</v>
      </c>
      <c r="E5" s="2">
        <v>40.36</v>
      </c>
    </row>
    <row r="6" spans="1:5" x14ac:dyDescent="0.15">
      <c r="A6" s="2">
        <v>5</v>
      </c>
      <c r="B6" s="2">
        <v>2.0219999999999998</v>
      </c>
      <c r="C6" s="2">
        <v>2.0162</v>
      </c>
      <c r="D6" s="2">
        <v>51.23</v>
      </c>
      <c r="E6" s="2">
        <v>45.66</v>
      </c>
    </row>
    <row r="7" spans="1:5" x14ac:dyDescent="0.15">
      <c r="A7" s="2">
        <v>6</v>
      </c>
      <c r="B7" s="2">
        <v>1.8742000000000001</v>
      </c>
      <c r="C7" s="2">
        <v>1.9789000000000001</v>
      </c>
      <c r="D7" s="2">
        <v>52.09</v>
      </c>
      <c r="E7" s="2">
        <v>50.77</v>
      </c>
    </row>
    <row r="8" spans="1:5" x14ac:dyDescent="0.15">
      <c r="A8" s="2">
        <v>7</v>
      </c>
      <c r="B8" s="2">
        <v>1.7926</v>
      </c>
      <c r="C8" s="2">
        <v>1.9458</v>
      </c>
      <c r="D8" s="2">
        <v>57.16</v>
      </c>
      <c r="E8" s="2">
        <v>55.69</v>
      </c>
    </row>
    <row r="9" spans="1:5" x14ac:dyDescent="0.15">
      <c r="A9" s="2">
        <v>8</v>
      </c>
      <c r="B9" s="2">
        <v>1.7170000000000001</v>
      </c>
      <c r="C9" s="2">
        <v>1.7166999999999999</v>
      </c>
      <c r="D9" s="2">
        <v>61.95</v>
      </c>
      <c r="E9" s="2">
        <v>52.45</v>
      </c>
    </row>
    <row r="10" spans="1:5" x14ac:dyDescent="0.15">
      <c r="A10" s="2">
        <v>9</v>
      </c>
      <c r="B10" s="2">
        <v>1.5869</v>
      </c>
      <c r="C10" s="2">
        <v>1.6915</v>
      </c>
      <c r="D10" s="2">
        <v>61.99</v>
      </c>
      <c r="E10" s="2">
        <v>57.04</v>
      </c>
    </row>
    <row r="11" spans="1:5" x14ac:dyDescent="0.15">
      <c r="A11" s="2">
        <v>10</v>
      </c>
      <c r="B11" s="2">
        <v>1.522</v>
      </c>
      <c r="C11" s="2">
        <v>1.67</v>
      </c>
      <c r="D11" s="2">
        <v>66.3</v>
      </c>
      <c r="E11" s="2">
        <v>61.49</v>
      </c>
    </row>
    <row r="12" spans="1:5" x14ac:dyDescent="0.15">
      <c r="A12" s="2">
        <v>11</v>
      </c>
      <c r="B12" s="2">
        <v>1.4621</v>
      </c>
      <c r="C12" s="2">
        <v>1.6519999999999999</v>
      </c>
      <c r="D12" s="2">
        <v>70.39</v>
      </c>
      <c r="E12" s="2">
        <v>65.790000000000006</v>
      </c>
    </row>
    <row r="13" spans="1:5" x14ac:dyDescent="0.15">
      <c r="A13" s="2">
        <v>12</v>
      </c>
      <c r="B13" s="2">
        <v>1.3469</v>
      </c>
      <c r="C13" s="2">
        <v>1.4373</v>
      </c>
      <c r="D13" s="2">
        <v>69.78</v>
      </c>
      <c r="E13" s="2">
        <v>61.95</v>
      </c>
    </row>
    <row r="14" spans="1:5" x14ac:dyDescent="0.15">
      <c r="A14" s="2">
        <v>13</v>
      </c>
      <c r="B14" s="2">
        <v>1.296</v>
      </c>
      <c r="C14" s="2">
        <v>1.4257</v>
      </c>
      <c r="D14" s="2">
        <v>73.489999999999995</v>
      </c>
      <c r="E14" s="2">
        <v>65.989999999999995</v>
      </c>
    </row>
    <row r="15" spans="1:5" x14ac:dyDescent="0.15">
      <c r="A15" s="2">
        <v>14</v>
      </c>
      <c r="B15" s="2">
        <v>1.2493000000000001</v>
      </c>
      <c r="C15" s="2">
        <v>1.4171</v>
      </c>
      <c r="D15" s="2">
        <v>77.03</v>
      </c>
      <c r="E15" s="2">
        <v>69.92</v>
      </c>
    </row>
    <row r="16" spans="1:5" x14ac:dyDescent="0.15">
      <c r="A16" s="2">
        <v>15</v>
      </c>
      <c r="B16" s="2">
        <v>1.1464000000000001</v>
      </c>
      <c r="C16" s="2">
        <v>1.4114</v>
      </c>
      <c r="D16" s="2">
        <v>75.91</v>
      </c>
      <c r="E16" s="2">
        <v>73.73</v>
      </c>
    </row>
    <row r="17" spans="1:5" x14ac:dyDescent="0.15">
      <c r="A17" s="2">
        <v>16</v>
      </c>
      <c r="B17" s="2">
        <v>1.1072</v>
      </c>
      <c r="C17" s="2">
        <v>1.2084999999999999</v>
      </c>
      <c r="D17" s="2">
        <v>79.150000000000006</v>
      </c>
      <c r="E17" s="2">
        <v>69.430000000000007</v>
      </c>
    </row>
    <row r="18" spans="1:5" x14ac:dyDescent="0.15">
      <c r="A18" s="2">
        <v>17</v>
      </c>
      <c r="B18" s="2">
        <v>1.0714999999999999</v>
      </c>
      <c r="C18" s="2">
        <v>1.2081</v>
      </c>
      <c r="D18" s="2">
        <v>82.25</v>
      </c>
      <c r="E18" s="2">
        <v>73.040000000000006</v>
      </c>
    </row>
    <row r="19" spans="1:5" x14ac:dyDescent="0.15">
      <c r="A19" s="2">
        <v>18</v>
      </c>
      <c r="B19" s="2">
        <v>0.97899999999999998</v>
      </c>
      <c r="C19" s="2">
        <v>1.2101</v>
      </c>
      <c r="D19" s="2">
        <v>80.73</v>
      </c>
      <c r="E19" s="2">
        <v>76.55</v>
      </c>
    </row>
    <row r="20" spans="1:5" x14ac:dyDescent="0.15">
      <c r="A20" s="2">
        <v>19</v>
      </c>
      <c r="B20" s="2">
        <v>0.94950000000000001</v>
      </c>
      <c r="C20" s="2">
        <v>1.2144999999999999</v>
      </c>
      <c r="D20" s="2">
        <v>83.6</v>
      </c>
      <c r="E20" s="2">
        <v>79.97</v>
      </c>
    </row>
    <row r="21" spans="1:5" x14ac:dyDescent="0.15">
      <c r="A21" s="2">
        <v>20</v>
      </c>
      <c r="B21" s="2">
        <v>0.92300000000000004</v>
      </c>
      <c r="C21" s="2">
        <v>1.0210999999999999</v>
      </c>
      <c r="D21" s="2">
        <v>86.36</v>
      </c>
      <c r="E21" s="2">
        <v>75.31</v>
      </c>
    </row>
    <row r="22" spans="1:5" x14ac:dyDescent="0.15">
      <c r="A22" s="2">
        <v>21</v>
      </c>
      <c r="B22" s="2">
        <v>0.83909999999999996</v>
      </c>
      <c r="C22" s="2">
        <v>1.0299</v>
      </c>
      <c r="D22" s="2">
        <v>84.52</v>
      </c>
      <c r="E22" s="2">
        <v>78.58</v>
      </c>
    </row>
    <row r="23" spans="1:5" x14ac:dyDescent="0.15">
      <c r="A23" s="2">
        <v>22</v>
      </c>
      <c r="B23" s="2">
        <v>0.81779999999999997</v>
      </c>
      <c r="C23" s="2">
        <v>1.0406</v>
      </c>
      <c r="D23" s="2">
        <v>87.1</v>
      </c>
      <c r="E23" s="2">
        <v>81.77</v>
      </c>
    </row>
    <row r="24" spans="1:5" x14ac:dyDescent="0.15">
      <c r="A24" s="2">
        <v>23</v>
      </c>
      <c r="B24" s="2">
        <v>0.79890000000000005</v>
      </c>
      <c r="C24" s="2">
        <v>1.0532999999999999</v>
      </c>
      <c r="D24" s="2">
        <v>89.59</v>
      </c>
      <c r="E24" s="2">
        <v>84.89</v>
      </c>
    </row>
    <row r="25" spans="1:5" x14ac:dyDescent="0.15">
      <c r="A25" s="2">
        <v>24</v>
      </c>
      <c r="B25" s="2">
        <v>0.72230000000000005</v>
      </c>
      <c r="C25" s="2">
        <v>0.86770000000000003</v>
      </c>
      <c r="D25" s="2">
        <v>87.5</v>
      </c>
      <c r="E25" s="2">
        <v>79.94</v>
      </c>
    </row>
    <row r="26" spans="1:5" x14ac:dyDescent="0.15">
      <c r="A26" s="2">
        <v>25</v>
      </c>
      <c r="B26" s="2">
        <v>0.70779999999999998</v>
      </c>
      <c r="C26" s="2">
        <v>0.88400000000000001</v>
      </c>
      <c r="D26" s="2">
        <v>89.85</v>
      </c>
      <c r="E26" s="2">
        <v>82.93</v>
      </c>
    </row>
    <row r="27" spans="1:5" x14ac:dyDescent="0.15">
      <c r="A27" s="2">
        <v>26</v>
      </c>
      <c r="B27" s="2">
        <v>0.69530000000000003</v>
      </c>
      <c r="C27" s="2">
        <v>0.90180000000000005</v>
      </c>
      <c r="D27" s="2">
        <v>92.13</v>
      </c>
      <c r="E27" s="2">
        <v>85.87</v>
      </c>
    </row>
    <row r="28" spans="1:5" x14ac:dyDescent="0.15">
      <c r="A28" s="2">
        <v>27</v>
      </c>
      <c r="B28" s="2">
        <v>0.62470000000000003</v>
      </c>
      <c r="C28" s="2">
        <v>0.92130000000000001</v>
      </c>
      <c r="D28" s="2">
        <v>89.85</v>
      </c>
      <c r="E28" s="2">
        <v>86</v>
      </c>
    </row>
    <row r="29" spans="1:5" x14ac:dyDescent="0.15">
      <c r="A29" s="2">
        <v>28</v>
      </c>
      <c r="B29" s="2">
        <v>0.6159</v>
      </c>
      <c r="C29" s="2">
        <v>0.74219999999999997</v>
      </c>
      <c r="D29" s="2">
        <v>92.02</v>
      </c>
      <c r="E29" s="2">
        <v>83.58</v>
      </c>
    </row>
    <row r="30" spans="1:5" x14ac:dyDescent="0.15">
      <c r="A30" s="2">
        <v>29</v>
      </c>
      <c r="B30" s="2">
        <v>0.60880000000000001</v>
      </c>
      <c r="C30" s="2">
        <v>0.76449999999999996</v>
      </c>
      <c r="D30" s="2">
        <v>94.13</v>
      </c>
      <c r="E30" s="2">
        <v>86</v>
      </c>
    </row>
    <row r="31" spans="1:5" x14ac:dyDescent="0.15">
      <c r="A31" s="2">
        <v>30</v>
      </c>
      <c r="B31" s="2">
        <v>0.54320000000000002</v>
      </c>
      <c r="C31" s="2">
        <v>0.78820000000000001</v>
      </c>
      <c r="D31" s="2">
        <v>91.7</v>
      </c>
      <c r="E31" s="2">
        <v>86</v>
      </c>
    </row>
    <row r="32" spans="1:5" x14ac:dyDescent="0.15">
      <c r="A32" s="2">
        <v>31</v>
      </c>
      <c r="B32" s="2">
        <v>0.53920000000000001</v>
      </c>
      <c r="C32" s="2">
        <v>0.81320000000000003</v>
      </c>
      <c r="D32" s="2">
        <v>93.72</v>
      </c>
      <c r="E32" s="2">
        <v>86</v>
      </c>
    </row>
    <row r="33" spans="1:5" x14ac:dyDescent="0.15">
      <c r="A33" s="2">
        <v>32</v>
      </c>
      <c r="B33" s="2">
        <v>0.53649999999999998</v>
      </c>
      <c r="C33" s="2">
        <v>0.63939999999999997</v>
      </c>
      <c r="D33" s="2">
        <v>95.7</v>
      </c>
      <c r="E33" s="2">
        <v>86</v>
      </c>
    </row>
    <row r="34" spans="1:5" x14ac:dyDescent="0.15">
      <c r="A34" s="2">
        <v>33</v>
      </c>
      <c r="B34" s="2">
        <v>0.47520000000000001</v>
      </c>
      <c r="C34" s="2">
        <v>0.66669999999999996</v>
      </c>
      <c r="D34" s="2">
        <v>93.15</v>
      </c>
      <c r="E34" s="2">
        <v>86</v>
      </c>
    </row>
    <row r="35" spans="1:5" x14ac:dyDescent="0.15">
      <c r="A35" s="2">
        <v>34</v>
      </c>
      <c r="B35" s="2">
        <v>0.47510000000000002</v>
      </c>
      <c r="C35" s="2">
        <v>0.69520000000000004</v>
      </c>
      <c r="D35" s="2">
        <v>95.06</v>
      </c>
      <c r="E35" s="2">
        <v>86</v>
      </c>
    </row>
    <row r="36" spans="1:5" x14ac:dyDescent="0.15">
      <c r="A36" s="2">
        <v>35</v>
      </c>
      <c r="B36" s="2">
        <v>0.47610000000000002</v>
      </c>
      <c r="C36" s="2">
        <v>0.72470000000000001</v>
      </c>
      <c r="D36" s="2">
        <v>96.94</v>
      </c>
      <c r="E36" s="2">
        <v>86</v>
      </c>
    </row>
    <row r="37" spans="1:5" x14ac:dyDescent="0.15">
      <c r="A37" s="2">
        <v>36</v>
      </c>
      <c r="B37" s="2">
        <v>0.41830000000000001</v>
      </c>
      <c r="C37" s="2">
        <v>0.55520000000000003</v>
      </c>
      <c r="D37" s="2">
        <v>94.29</v>
      </c>
      <c r="E37" s="2">
        <v>86</v>
      </c>
    </row>
    <row r="38" spans="1:5" x14ac:dyDescent="0.15">
      <c r="A38" s="2">
        <v>37</v>
      </c>
      <c r="B38" s="2">
        <v>0.42149999999999999</v>
      </c>
      <c r="C38" s="2">
        <v>0.58660000000000001</v>
      </c>
      <c r="D38" s="2">
        <v>96.11</v>
      </c>
      <c r="E38" s="2">
        <v>86</v>
      </c>
    </row>
    <row r="39" spans="1:5" x14ac:dyDescent="0.15">
      <c r="A39" s="2">
        <v>38</v>
      </c>
      <c r="B39" s="2">
        <v>0.42570000000000002</v>
      </c>
      <c r="C39" s="2">
        <v>0.61899999999999999</v>
      </c>
      <c r="D39" s="2">
        <v>97.91</v>
      </c>
      <c r="E39" s="2">
        <v>86</v>
      </c>
    </row>
    <row r="40" spans="1:5" x14ac:dyDescent="0.15">
      <c r="A40" s="2">
        <v>39</v>
      </c>
      <c r="B40" s="2">
        <v>0.37080000000000002</v>
      </c>
      <c r="C40" s="2">
        <v>0.6522</v>
      </c>
      <c r="D40" s="2">
        <v>95.19</v>
      </c>
      <c r="E40" s="2">
        <v>86</v>
      </c>
    </row>
    <row r="41" spans="1:5" x14ac:dyDescent="0.15">
      <c r="A41" s="2">
        <v>40</v>
      </c>
      <c r="B41" s="2">
        <v>0.37680000000000002</v>
      </c>
      <c r="C41" s="2">
        <v>0.48630000000000001</v>
      </c>
      <c r="D41" s="2">
        <v>96.94</v>
      </c>
      <c r="E41" s="2">
        <v>86</v>
      </c>
    </row>
    <row r="42" spans="1:5" x14ac:dyDescent="0.15">
      <c r="A42" s="2">
        <v>41</v>
      </c>
      <c r="B42" s="2">
        <v>0.3836</v>
      </c>
      <c r="C42" s="2">
        <v>0.52110000000000001</v>
      </c>
      <c r="D42" s="2">
        <v>98.68</v>
      </c>
      <c r="E42" s="2">
        <v>86</v>
      </c>
    </row>
    <row r="43" spans="1:5" x14ac:dyDescent="0.15">
      <c r="A43" s="2">
        <v>42</v>
      </c>
      <c r="B43" s="2">
        <v>0.33110000000000001</v>
      </c>
      <c r="C43" s="2">
        <v>0.55659999999999998</v>
      </c>
      <c r="D43" s="2">
        <v>95.89</v>
      </c>
      <c r="E43" s="2">
        <v>86</v>
      </c>
    </row>
    <row r="44" spans="1:5" x14ac:dyDescent="0.15">
      <c r="A44" s="2">
        <v>43</v>
      </c>
      <c r="B44" s="2">
        <v>0.33939999999999998</v>
      </c>
      <c r="C44" s="2">
        <v>0.59289999999999998</v>
      </c>
      <c r="D44" s="2">
        <v>97.6</v>
      </c>
      <c r="E44" s="2">
        <v>86</v>
      </c>
    </row>
    <row r="45" spans="1:5" x14ac:dyDescent="0.15">
      <c r="A45" s="2">
        <v>44</v>
      </c>
      <c r="B45" s="2">
        <v>0.34839999999999999</v>
      </c>
      <c r="C45" s="2">
        <v>0.42980000000000002</v>
      </c>
      <c r="D45" s="2">
        <v>99.28</v>
      </c>
      <c r="E45" s="2">
        <v>86</v>
      </c>
    </row>
    <row r="46" spans="1:5" x14ac:dyDescent="0.15">
      <c r="A46" s="2">
        <v>45</v>
      </c>
      <c r="B46" s="2">
        <v>0.29799999999999999</v>
      </c>
      <c r="C46" s="2">
        <v>0.46739999999999998</v>
      </c>
      <c r="D46" s="2">
        <v>96.45</v>
      </c>
      <c r="E46" s="2">
        <v>86</v>
      </c>
    </row>
    <row r="47" spans="1:5" x14ac:dyDescent="0.15">
      <c r="A47" s="2">
        <v>46</v>
      </c>
      <c r="B47" s="2">
        <v>0.30819999999999997</v>
      </c>
      <c r="C47" s="2">
        <v>0.50560000000000005</v>
      </c>
      <c r="D47" s="2">
        <v>98.11</v>
      </c>
      <c r="E47" s="2">
        <v>86</v>
      </c>
    </row>
    <row r="48" spans="1:5" x14ac:dyDescent="0.15">
      <c r="A48" s="2">
        <v>47</v>
      </c>
      <c r="B48" s="2">
        <v>0.31900000000000001</v>
      </c>
      <c r="C48" s="2">
        <v>0.54430000000000001</v>
      </c>
      <c r="D48" s="2">
        <v>99.75</v>
      </c>
      <c r="E48" s="2">
        <v>86</v>
      </c>
    </row>
    <row r="49" spans="1:5" x14ac:dyDescent="0.15">
      <c r="A49" s="2">
        <v>48</v>
      </c>
      <c r="B49" s="2">
        <v>0.27029999999999998</v>
      </c>
      <c r="C49" s="2">
        <v>0.38369999999999999</v>
      </c>
      <c r="D49" s="2">
        <v>96.89</v>
      </c>
      <c r="E49" s="2">
        <v>86</v>
      </c>
    </row>
    <row r="50" spans="1:5" x14ac:dyDescent="0.15">
      <c r="A50" s="2">
        <v>49</v>
      </c>
      <c r="B50" s="2">
        <v>0.28220000000000001</v>
      </c>
      <c r="C50" s="2">
        <v>0.42349999999999999</v>
      </c>
      <c r="D50" s="2">
        <v>98.51</v>
      </c>
      <c r="E50" s="2">
        <v>86</v>
      </c>
    </row>
    <row r="51" spans="1:5" x14ac:dyDescent="0.15">
      <c r="A51" s="2">
        <v>50</v>
      </c>
      <c r="B51" s="2">
        <v>0.29449999999999998</v>
      </c>
      <c r="C51" s="2">
        <v>0.46379999999999999</v>
      </c>
      <c r="D51" s="2">
        <v>100</v>
      </c>
      <c r="E51" s="2">
        <v>86</v>
      </c>
    </row>
  </sheetData>
  <phoneticPr fontId="4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6"/>
  <sheetViews>
    <sheetView workbookViewId="0"/>
  </sheetViews>
  <sheetFormatPr defaultRowHeight="13.5" x14ac:dyDescent="0.15"/>
  <cols>
    <col min="1" max="1" width="10" customWidth="1"/>
    <col min="2" max="16" width="6" customWidth="1"/>
  </cols>
  <sheetData>
    <row r="1" spans="1:16" ht="14.25" x14ac:dyDescent="0.1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</row>
    <row r="2" spans="1:16" ht="14.25" x14ac:dyDescent="0.2">
      <c r="A2" s="4" t="s">
        <v>72</v>
      </c>
      <c r="B2" s="5">
        <v>2</v>
      </c>
      <c r="C2" s="2">
        <v>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</row>
    <row r="3" spans="1:16" ht="14.25" x14ac:dyDescent="0.2">
      <c r="A3" s="4" t="s">
        <v>73</v>
      </c>
      <c r="B3" s="2">
        <v>1</v>
      </c>
      <c r="C3" s="5">
        <v>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</row>
    <row r="4" spans="1:16" ht="14.25" x14ac:dyDescent="0.2">
      <c r="A4" s="4" t="s">
        <v>74</v>
      </c>
      <c r="B4" s="2">
        <v>0</v>
      </c>
      <c r="C4" s="2">
        <v>1</v>
      </c>
      <c r="D4" s="5">
        <v>2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ht="14.25" x14ac:dyDescent="0.2">
      <c r="A5" s="4" t="s">
        <v>75</v>
      </c>
      <c r="B5" s="2">
        <v>0</v>
      </c>
      <c r="C5" s="2">
        <v>1</v>
      </c>
      <c r="D5" s="2">
        <v>1</v>
      </c>
      <c r="E5" s="5">
        <v>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ht="14.25" x14ac:dyDescent="0.2">
      <c r="A6" s="4" t="s">
        <v>76</v>
      </c>
      <c r="B6" s="2">
        <v>0</v>
      </c>
      <c r="C6" s="2">
        <v>0</v>
      </c>
      <c r="D6" s="2">
        <v>0</v>
      </c>
      <c r="E6" s="2">
        <v>0</v>
      </c>
      <c r="F6" s="5">
        <v>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 ht="14.25" x14ac:dyDescent="0.2">
      <c r="A7" s="4" t="s">
        <v>77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5">
        <v>6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  <row r="8" spans="1:16" ht="14.25" x14ac:dyDescent="0.2">
      <c r="A8" s="4" t="s">
        <v>78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5">
        <v>5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ht="14.25" x14ac:dyDescent="0.2">
      <c r="A9" s="4" t="s">
        <v>79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1</v>
      </c>
      <c r="I9" s="5">
        <v>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ht="14.25" x14ac:dyDescent="0.2">
      <c r="A10" s="4" t="s">
        <v>80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5">
        <v>5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ht="14.25" x14ac:dyDescent="0.2">
      <c r="A11" s="4" t="s">
        <v>81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5">
        <v>7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ht="14.25" x14ac:dyDescent="0.2">
      <c r="A12" s="4" t="s">
        <v>82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5">
        <v>21</v>
      </c>
      <c r="M12" s="2">
        <v>1</v>
      </c>
      <c r="N12" s="2">
        <v>0</v>
      </c>
      <c r="O12" s="2">
        <v>0</v>
      </c>
      <c r="P12" s="2">
        <v>0</v>
      </c>
    </row>
    <row r="13" spans="1:16" ht="14.25" x14ac:dyDescent="0.2">
      <c r="A13" s="4" t="s">
        <v>83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5">
        <v>25</v>
      </c>
      <c r="N13" s="2">
        <v>1</v>
      </c>
      <c r="O13" s="2">
        <v>1</v>
      </c>
      <c r="P13" s="2">
        <v>0</v>
      </c>
    </row>
    <row r="14" spans="1:16" ht="14.25" x14ac:dyDescent="0.2">
      <c r="A14" s="4" t="s">
        <v>84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2</v>
      </c>
      <c r="N14" s="5">
        <v>24</v>
      </c>
      <c r="O14" s="2">
        <v>3</v>
      </c>
      <c r="P14" s="2">
        <v>1</v>
      </c>
    </row>
    <row r="15" spans="1:16" ht="14.25" x14ac:dyDescent="0.2">
      <c r="A15" s="4" t="s">
        <v>85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2</v>
      </c>
      <c r="N15" s="2">
        <v>3</v>
      </c>
      <c r="O15" s="5">
        <v>23</v>
      </c>
      <c r="P15" s="2">
        <v>1</v>
      </c>
    </row>
    <row r="16" spans="1:16" ht="14.25" x14ac:dyDescent="0.2">
      <c r="A16" s="4" t="s">
        <v>86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5">
        <v>29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图1-数据集分布</vt:lpstr>
      <vt:lpstr>图2-主实验对比</vt:lpstr>
      <vt:lpstr>图3-各类别准确率</vt:lpstr>
      <vt:lpstr>图4-消融实验</vt:lpstr>
      <vt:lpstr>图5-TTA分析</vt:lpstr>
      <vt:lpstr>图6-参数效率</vt:lpstr>
      <vt:lpstr>图7-训练曲线</vt:lpstr>
      <vt:lpstr>图8-混淆矩阵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郭晨凯</cp:lastModifiedBy>
  <dcterms:created xsi:type="dcterms:W3CDTF">2026-06-15T07:02:04Z</dcterms:created>
  <dcterms:modified xsi:type="dcterms:W3CDTF">2026-06-30T08:18:18Z</dcterms:modified>
</cp:coreProperties>
</file>